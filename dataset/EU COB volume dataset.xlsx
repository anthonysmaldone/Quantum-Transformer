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fanbu\Box\001 research and publications\3rd&amp;5th ML papers\"/>
    </mc:Choice>
  </mc:AlternateContent>
  <xr:revisionPtr revIDLastSave="0" documentId="13_ncr:1_{9E41C64F-0F3C-4B34-BCA5-953F7DF788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1" l="1"/>
  <c r="E65" i="1"/>
  <c r="D65" i="1"/>
  <c r="N65" i="1"/>
</calcChain>
</file>

<file path=xl/sharedStrings.xml><?xml version="1.0" encoding="utf-8"?>
<sst xmlns="http://schemas.openxmlformats.org/spreadsheetml/2006/main" count="14" uniqueCount="14">
  <si>
    <t>Time</t>
  </si>
  <si>
    <t>CPI</t>
  </si>
  <si>
    <t>TEU</t>
  </si>
  <si>
    <t>GDP</t>
  </si>
  <si>
    <t>Inwards</t>
  </si>
  <si>
    <t>Outwards</t>
  </si>
  <si>
    <t>Unemployment</t>
  </si>
  <si>
    <t>PPI</t>
  </si>
  <si>
    <t>Rail</t>
  </si>
  <si>
    <t>Road</t>
  </si>
  <si>
    <t>Exchange</t>
  </si>
  <si>
    <t>Oil</t>
  </si>
  <si>
    <t>Interest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</si>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</sst>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########"/>
    <numFmt numFmtId="165" formatCode="#,##0.0"/>
    <numFmt numFmtId="166" formatCode="#,##0.0000"/>
    <numFmt numFmtId="167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164" fontId="3" fillId="0" borderId="0" xfId="0" applyNumberFormat="1" applyFont="1" applyAlignment="1">
      <alignment horizontal="right" vertical="center" shrinkToFit="1"/>
    </xf>
    <xf numFmtId="3" fontId="3" fillId="0" borderId="0" xfId="0" applyNumberFormat="1" applyFont="1" applyAlignment="1">
      <alignment horizontal="right" vertical="center" shrinkToFit="1"/>
    </xf>
    <xf numFmtId="165" fontId="3" fillId="0" borderId="0" xfId="0" applyNumberFormat="1" applyFont="1" applyAlignment="1">
      <alignment horizontal="right" vertical="center" shrinkToFit="1"/>
    </xf>
    <xf numFmtId="1" fontId="0" fillId="0" borderId="0" xfId="0" applyNumberFormat="1"/>
    <xf numFmtId="0" fontId="1" fillId="0" borderId="0" xfId="0" applyFont="1" applyAlignment="1">
      <alignment vertical="top" wrapText="1"/>
    </xf>
    <xf numFmtId="2" fontId="0" fillId="0" borderId="0" xfId="0" applyNumberFormat="1"/>
    <xf numFmtId="167" fontId="0" fillId="0" borderId="0" xfId="0" applyNumberFormat="1"/>
    <xf numFmtId="166" fontId="3" fillId="0" borderId="0" xfId="0" applyNumberFormat="1" applyFont="1" applyAlignment="1">
      <alignment horizontal="right" vertical="center" shrinkToFit="1"/>
    </xf>
    <xf numFmtId="14" fontId="0" fillId="0" borderId="0" xfId="0" applyNumberFormat="1"/>
  </cellXfs>
  <cellStyles count="2">
    <cellStyle name="Normal" xfId="0" builtinId="0"/>
    <cellStyle name="Normal 2" xfId="1" xr:uid="{4A573705-3D6E-484E-B1B6-48ABD96374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"/>
  <sheetViews>
    <sheetView tabSelected="1" topLeftCell="A31" zoomScaleNormal="100" workbookViewId="0">
      <selection sqref="A1:N65"/>
    </sheetView>
  </sheetViews>
  <sheetFormatPr defaultRowHeight="15" x14ac:dyDescent="0.25"/>
  <cols>
    <col min="1" max="1" width="13" customWidth="1"/>
    <col min="2" max="2" width="14.5703125" customWidth="1"/>
    <col min="3" max="3" width="12.28515625" style="4" customWidth="1"/>
    <col min="4" max="4" width="13.85546875" customWidth="1"/>
    <col min="5" max="5" width="13.28515625" customWidth="1"/>
    <col min="6" max="6" width="15" customWidth="1"/>
    <col min="8" max="8" width="18.42578125" customWidth="1"/>
    <col min="9" max="9" width="17.42578125" customWidth="1"/>
    <col min="10" max="10" width="9.42578125" customWidth="1"/>
    <col min="11" max="12" width="15.85546875" customWidth="1"/>
    <col min="13" max="13" width="17.5703125" customWidth="1"/>
    <col min="14" max="14" width="14.42578125" customWidth="1"/>
  </cols>
  <sheetData>
    <row r="1" spans="1:14" s="5" customFormat="1" ht="30" x14ac:dyDescent="0.25">
      <c r="A1" s="5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</v>
      </c>
      <c r="L1" s="5" t="s">
        <v>11</v>
      </c>
      <c r="M1" s="5" t="s">
        <v>12</v>
      </c>
      <c r="N1" s="5" t="s">
        <v>13</v>
      </c>
    </row>
    <row r="2" spans="1:14" x14ac:dyDescent="0.25">
      <c r="A2" s="9">
        <v>39172</v>
      </c>
      <c r="B2">
        <v>2162982</v>
      </c>
      <c r="C2" s="4">
        <v>2224962.2000000002</v>
      </c>
      <c r="D2">
        <v>9795344</v>
      </c>
      <c r="E2">
        <v>9622049</v>
      </c>
      <c r="F2" s="6">
        <v>7.9</v>
      </c>
      <c r="G2" s="1">
        <v>105.4</v>
      </c>
      <c r="H2">
        <v>434268</v>
      </c>
      <c r="I2">
        <v>4064043</v>
      </c>
      <c r="J2" s="1">
        <v>1.3106</v>
      </c>
      <c r="K2" s="6">
        <v>0.18772507853804801</v>
      </c>
      <c r="L2" s="6">
        <v>57.351836846728197</v>
      </c>
      <c r="M2" s="1">
        <v>4.34</v>
      </c>
      <c r="N2" s="7">
        <v>386.66666666666669</v>
      </c>
    </row>
    <row r="3" spans="1:14" x14ac:dyDescent="0.25">
      <c r="A3" s="9">
        <v>39263</v>
      </c>
      <c r="B3">
        <v>2231281</v>
      </c>
      <c r="C3" s="4">
        <v>2303102.1</v>
      </c>
      <c r="D3">
        <v>10542933</v>
      </c>
      <c r="E3">
        <v>10320368</v>
      </c>
      <c r="F3" s="6">
        <v>7.6666666666666696</v>
      </c>
      <c r="G3" s="1">
        <v>105.8</v>
      </c>
      <c r="H3">
        <v>442226</v>
      </c>
      <c r="I3">
        <v>4502739</v>
      </c>
      <c r="J3" s="1">
        <v>1.3481000000000001</v>
      </c>
      <c r="K3" s="6">
        <v>1.37279645137852</v>
      </c>
      <c r="L3" s="6">
        <v>66.172015182884707</v>
      </c>
      <c r="M3" s="1">
        <v>4.6399999999999997</v>
      </c>
      <c r="N3" s="7">
        <v>259.33333333333331</v>
      </c>
    </row>
    <row r="4" spans="1:14" x14ac:dyDescent="0.25">
      <c r="A4" s="9">
        <v>39355</v>
      </c>
      <c r="B4">
        <v>2219434</v>
      </c>
      <c r="C4" s="4">
        <v>2284478.2000000002</v>
      </c>
      <c r="D4">
        <v>11011475</v>
      </c>
      <c r="E4">
        <v>10655404</v>
      </c>
      <c r="F4" s="6">
        <v>7.56666666666667</v>
      </c>
      <c r="G4" s="1">
        <v>106.7</v>
      </c>
      <c r="H4">
        <v>436534</v>
      </c>
      <c r="I4">
        <v>4327790</v>
      </c>
      <c r="J4" s="1">
        <v>1.3737999999999999</v>
      </c>
      <c r="K4" s="6">
        <v>8.2987551867223397E-2</v>
      </c>
      <c r="L4" s="6">
        <v>73.4664931927975</v>
      </c>
      <c r="M4" s="1">
        <v>4.6900000000000004</v>
      </c>
      <c r="N4" s="7">
        <v>320</v>
      </c>
    </row>
    <row r="5" spans="1:14" x14ac:dyDescent="0.25">
      <c r="A5" s="9">
        <v>39447</v>
      </c>
      <c r="B5">
        <v>2152038</v>
      </c>
      <c r="C5" s="4">
        <v>2426366</v>
      </c>
      <c r="D5">
        <v>10545011</v>
      </c>
      <c r="E5">
        <v>10520769</v>
      </c>
      <c r="F5" s="6">
        <v>7.43333333333333</v>
      </c>
      <c r="G5" s="1">
        <v>107.4</v>
      </c>
      <c r="H5">
        <v>438668</v>
      </c>
      <c r="I5">
        <v>4361868</v>
      </c>
      <c r="J5" s="1">
        <v>1.4486000000000001</v>
      </c>
      <c r="K5" s="6">
        <v>1.27770239710539</v>
      </c>
      <c r="L5" s="6">
        <v>87.766459313633206</v>
      </c>
      <c r="M5" s="1">
        <v>4.55</v>
      </c>
      <c r="N5" s="7">
        <v>261</v>
      </c>
    </row>
    <row r="6" spans="1:14" x14ac:dyDescent="0.25">
      <c r="A6" s="9">
        <v>39538</v>
      </c>
      <c r="B6">
        <v>2135853</v>
      </c>
      <c r="C6" s="4">
        <v>2314474.7999999998</v>
      </c>
      <c r="D6">
        <v>10111511</v>
      </c>
      <c r="E6">
        <v>9833144</v>
      </c>
      <c r="F6" s="6">
        <v>7.4</v>
      </c>
      <c r="G6" s="1">
        <v>108.1</v>
      </c>
      <c r="H6">
        <v>454716</v>
      </c>
      <c r="I6">
        <v>4119578</v>
      </c>
      <c r="J6" s="1">
        <v>1.4976</v>
      </c>
      <c r="K6" s="6">
        <v>0.65498120650515601</v>
      </c>
      <c r="L6" s="6">
        <v>95.276169772256793</v>
      </c>
      <c r="M6" s="1">
        <v>4.3600000000000003</v>
      </c>
      <c r="N6" s="7">
        <v>333.33333333333331</v>
      </c>
    </row>
    <row r="7" spans="1:14" x14ac:dyDescent="0.25">
      <c r="A7" s="9">
        <v>39629</v>
      </c>
      <c r="B7">
        <v>2218535</v>
      </c>
      <c r="C7" s="4">
        <v>2398622.2000000002</v>
      </c>
      <c r="D7">
        <v>10725608</v>
      </c>
      <c r="E7">
        <v>10498870</v>
      </c>
      <c r="F7" s="6">
        <v>7.5333333333333297</v>
      </c>
      <c r="G7" s="1">
        <v>106.9</v>
      </c>
      <c r="H7">
        <v>462038</v>
      </c>
      <c r="I7">
        <v>4488992</v>
      </c>
      <c r="J7" s="1">
        <v>1.5622</v>
      </c>
      <c r="K7" s="6">
        <v>1.6600732059008301</v>
      </c>
      <c r="L7" s="6">
        <v>121.109567099567</v>
      </c>
      <c r="M7" s="1">
        <v>4.7300000000000004</v>
      </c>
      <c r="N7" s="7">
        <v>341.33333333333331</v>
      </c>
    </row>
    <row r="8" spans="1:14" x14ac:dyDescent="0.25">
      <c r="A8" s="9">
        <v>39721</v>
      </c>
      <c r="B8">
        <v>2170030</v>
      </c>
      <c r="C8" s="4">
        <v>2349900.1</v>
      </c>
      <c r="D8">
        <v>10748718</v>
      </c>
      <c r="E8">
        <v>10532390</v>
      </c>
      <c r="F8" s="6">
        <v>7.7</v>
      </c>
      <c r="G8" s="1">
        <v>104.5</v>
      </c>
      <c r="H8">
        <v>463567</v>
      </c>
      <c r="I8">
        <v>4390726</v>
      </c>
      <c r="J8" s="8">
        <v>1.5049999999999999</v>
      </c>
      <c r="K8" s="6">
        <v>0.29095141111434802</v>
      </c>
      <c r="L8" s="6">
        <v>115.579800907627</v>
      </c>
      <c r="M8" s="1">
        <v>4.76</v>
      </c>
      <c r="N8" s="7">
        <v>239.33333333333334</v>
      </c>
    </row>
    <row r="9" spans="1:14" x14ac:dyDescent="0.25">
      <c r="A9" s="9">
        <v>39813</v>
      </c>
      <c r="B9">
        <v>2083773</v>
      </c>
      <c r="C9" s="4">
        <v>2417259.4</v>
      </c>
      <c r="D9">
        <v>9557355</v>
      </c>
      <c r="E9">
        <v>9724017</v>
      </c>
      <c r="F9" s="6">
        <v>8.1333333333333293</v>
      </c>
      <c r="G9" s="1">
        <v>97.9</v>
      </c>
      <c r="H9">
        <v>424797</v>
      </c>
      <c r="I9">
        <v>4038759</v>
      </c>
      <c r="J9" s="8">
        <v>1.3180000000000001</v>
      </c>
      <c r="K9" s="6">
        <v>-0.25384392225124103</v>
      </c>
      <c r="L9" s="6">
        <v>55.104070048309197</v>
      </c>
      <c r="M9" s="1">
        <v>4.3099999999999996</v>
      </c>
      <c r="N9" s="7">
        <v>227</v>
      </c>
    </row>
    <row r="10" spans="1:14" x14ac:dyDescent="0.25">
      <c r="A10" s="9">
        <v>39903</v>
      </c>
      <c r="B10">
        <v>1914341</v>
      </c>
      <c r="C10" s="4">
        <v>2232049.7000000002</v>
      </c>
      <c r="D10">
        <v>8423163</v>
      </c>
      <c r="E10">
        <v>8265066</v>
      </c>
      <c r="F10" s="6">
        <v>9.06666666666667</v>
      </c>
      <c r="G10" s="1">
        <v>89.8</v>
      </c>
      <c r="H10">
        <v>348510</v>
      </c>
      <c r="I10">
        <v>3272473</v>
      </c>
      <c r="J10" s="1">
        <v>1.3028999999999999</v>
      </c>
      <c r="K10" s="6">
        <v>-0.65076710535883198</v>
      </c>
      <c r="L10" s="6">
        <v>43.5526161616162</v>
      </c>
      <c r="M10" s="1">
        <v>4.0999999999999996</v>
      </c>
      <c r="N10" s="7">
        <v>296.33333333333331</v>
      </c>
    </row>
    <row r="11" spans="1:14" x14ac:dyDescent="0.25">
      <c r="A11" s="9">
        <v>39994</v>
      </c>
      <c r="B11">
        <v>2077417</v>
      </c>
      <c r="C11" s="4">
        <v>2293302.7999999998</v>
      </c>
      <c r="D11">
        <v>8743626</v>
      </c>
      <c r="E11">
        <v>8637689</v>
      </c>
      <c r="F11" s="6">
        <v>9.6</v>
      </c>
      <c r="G11" s="1">
        <v>88.8</v>
      </c>
      <c r="H11">
        <v>344503</v>
      </c>
      <c r="I11">
        <v>3938554</v>
      </c>
      <c r="J11" s="1">
        <v>1.3632</v>
      </c>
      <c r="K11" s="6">
        <v>0.83799904856005003</v>
      </c>
      <c r="L11" s="6">
        <v>58.829805194805203</v>
      </c>
      <c r="M11" s="1">
        <v>4.25</v>
      </c>
      <c r="N11" s="7">
        <v>285.66666666666669</v>
      </c>
    </row>
    <row r="12" spans="1:14" x14ac:dyDescent="0.25">
      <c r="A12" s="9">
        <v>40086</v>
      </c>
      <c r="B12">
        <v>2036669</v>
      </c>
      <c r="C12" s="4">
        <v>2284496.7999999998</v>
      </c>
      <c r="D12">
        <v>8847928</v>
      </c>
      <c r="E12">
        <v>8785805</v>
      </c>
      <c r="F12" s="6">
        <v>9.9</v>
      </c>
      <c r="G12" s="1">
        <v>90.3</v>
      </c>
      <c r="H12">
        <v>373758</v>
      </c>
      <c r="I12">
        <v>4058412</v>
      </c>
      <c r="J12" s="1">
        <v>1.4302999999999999</v>
      </c>
      <c r="K12" s="6">
        <v>-0.27943097691973301</v>
      </c>
      <c r="L12" s="6">
        <v>68.278316602881802</v>
      </c>
      <c r="M12" s="1">
        <v>4.13</v>
      </c>
      <c r="N12" s="7">
        <v>209</v>
      </c>
    </row>
    <row r="13" spans="1:14" x14ac:dyDescent="0.25">
      <c r="A13" s="9">
        <v>40178</v>
      </c>
      <c r="B13">
        <v>2061210</v>
      </c>
      <c r="C13" s="4">
        <v>2402525.2000000002</v>
      </c>
      <c r="D13">
        <v>8887351</v>
      </c>
      <c r="E13">
        <v>9047343</v>
      </c>
      <c r="F13" s="6">
        <v>10.133333333333301</v>
      </c>
      <c r="G13" s="1">
        <v>91.4</v>
      </c>
      <c r="H13">
        <v>402329</v>
      </c>
      <c r="I13">
        <v>3853695</v>
      </c>
      <c r="J13" s="1">
        <v>1.4779</v>
      </c>
      <c r="K13" s="6">
        <v>0.52767567960987405</v>
      </c>
      <c r="L13" s="6">
        <v>75.345144822970894</v>
      </c>
      <c r="M13" s="1">
        <v>3.96</v>
      </c>
      <c r="N13" s="7">
        <v>204</v>
      </c>
    </row>
    <row r="14" spans="1:14" x14ac:dyDescent="0.25">
      <c r="A14" s="9">
        <v>40268</v>
      </c>
      <c r="B14">
        <v>2341850</v>
      </c>
      <c r="C14" s="4">
        <v>2270515.1</v>
      </c>
      <c r="D14">
        <v>9256839</v>
      </c>
      <c r="E14">
        <v>9045728</v>
      </c>
      <c r="F14" s="6">
        <v>10.266666666666699</v>
      </c>
      <c r="G14" s="1">
        <v>93.3</v>
      </c>
      <c r="H14">
        <v>373424</v>
      </c>
      <c r="I14">
        <v>3222539</v>
      </c>
      <c r="J14" s="1">
        <v>1.3829</v>
      </c>
      <c r="K14" s="6">
        <v>1.4480162177814801E-2</v>
      </c>
      <c r="L14" s="6">
        <v>77.127203588681795</v>
      </c>
      <c r="M14" s="1">
        <v>4.0199999999999996</v>
      </c>
      <c r="N14" s="7">
        <v>334</v>
      </c>
    </row>
    <row r="15" spans="1:14" x14ac:dyDescent="0.25">
      <c r="A15" s="9">
        <v>40359</v>
      </c>
      <c r="B15">
        <v>2214946</v>
      </c>
      <c r="C15" s="4">
        <v>2365010.5</v>
      </c>
      <c r="D15">
        <v>9978521</v>
      </c>
      <c r="E15">
        <v>9807391</v>
      </c>
      <c r="F15" s="6">
        <v>10.3</v>
      </c>
      <c r="G15" s="1">
        <v>95.8</v>
      </c>
      <c r="H15">
        <v>400801</v>
      </c>
      <c r="I15">
        <v>4019388</v>
      </c>
      <c r="J15" s="1">
        <v>1.2707999999999999</v>
      </c>
      <c r="K15" s="6">
        <v>1.3247430143332799</v>
      </c>
      <c r="L15" s="6">
        <v>78.209189514189504</v>
      </c>
      <c r="M15" s="1">
        <v>3.83</v>
      </c>
      <c r="N15" s="7">
        <v>267.33333333333331</v>
      </c>
    </row>
    <row r="16" spans="1:14" x14ac:dyDescent="0.25">
      <c r="A16" s="9">
        <v>40451</v>
      </c>
      <c r="B16">
        <v>2489574</v>
      </c>
      <c r="C16" s="4">
        <v>2359795</v>
      </c>
      <c r="D16">
        <v>10252661</v>
      </c>
      <c r="E16">
        <v>9882553</v>
      </c>
      <c r="F16" s="6">
        <v>10.199999999999999</v>
      </c>
      <c r="G16" s="1">
        <v>96.6</v>
      </c>
      <c r="H16">
        <v>404976</v>
      </c>
      <c r="I16">
        <v>4018328</v>
      </c>
      <c r="J16" s="8">
        <v>1.2909999999999999</v>
      </c>
      <c r="K16" s="6">
        <v>-0.153604343787938</v>
      </c>
      <c r="L16" s="6">
        <v>75.725303030302996</v>
      </c>
      <c r="M16" s="1">
        <v>3.6</v>
      </c>
      <c r="N16" s="7">
        <v>275.33333333333331</v>
      </c>
    </row>
    <row r="17" spans="1:14" x14ac:dyDescent="0.25">
      <c r="A17" s="9">
        <v>40543</v>
      </c>
      <c r="B17">
        <v>2325662</v>
      </c>
      <c r="C17" s="4">
        <v>2477503.5</v>
      </c>
      <c r="D17">
        <v>9622266</v>
      </c>
      <c r="E17">
        <v>9688539</v>
      </c>
      <c r="F17" s="6">
        <v>10.233333333333301</v>
      </c>
      <c r="G17" s="1">
        <v>98.4</v>
      </c>
      <c r="H17">
        <v>409861</v>
      </c>
      <c r="I17">
        <v>3710401</v>
      </c>
      <c r="J17" s="1">
        <v>1.3583000000000001</v>
      </c>
      <c r="K17" s="6">
        <v>0.833601660047944</v>
      </c>
      <c r="L17" s="6">
        <v>85.516233138841798</v>
      </c>
      <c r="M17" s="1">
        <v>3.85</v>
      </c>
      <c r="N17" s="7">
        <v>300</v>
      </c>
    </row>
    <row r="18" spans="1:14" x14ac:dyDescent="0.25">
      <c r="A18" s="9">
        <v>40633</v>
      </c>
      <c r="B18">
        <v>2417462</v>
      </c>
      <c r="C18" s="4">
        <v>2367257.6000000001</v>
      </c>
      <c r="D18">
        <v>10239883</v>
      </c>
      <c r="E18">
        <v>9731577</v>
      </c>
      <c r="F18" s="6">
        <v>10.133333333333301</v>
      </c>
      <c r="G18" s="1">
        <v>99.3</v>
      </c>
      <c r="H18">
        <v>423212</v>
      </c>
      <c r="I18">
        <v>3471751</v>
      </c>
      <c r="J18" s="8">
        <v>1.3680000000000001</v>
      </c>
      <c r="K18" s="6">
        <v>0.454158387737709</v>
      </c>
      <c r="L18" s="6">
        <v>99.820225557856006</v>
      </c>
      <c r="M18" s="1">
        <v>4.38</v>
      </c>
      <c r="N18" s="7">
        <v>335.66666666666669</v>
      </c>
    </row>
    <row r="19" spans="1:14" x14ac:dyDescent="0.25">
      <c r="A19" s="9">
        <v>40724</v>
      </c>
      <c r="B19">
        <v>2554009</v>
      </c>
      <c r="C19" s="4">
        <v>2439336.2999999998</v>
      </c>
      <c r="D19">
        <v>10835155</v>
      </c>
      <c r="E19">
        <v>10287274</v>
      </c>
      <c r="F19" s="6">
        <v>10.0666666666667</v>
      </c>
      <c r="G19" s="1">
        <v>99.1</v>
      </c>
      <c r="H19">
        <v>436697</v>
      </c>
      <c r="I19">
        <v>3954380</v>
      </c>
      <c r="J19" s="1">
        <v>1.4391</v>
      </c>
      <c r="K19" s="6">
        <v>1.60002825656965</v>
      </c>
      <c r="L19" s="6">
        <v>110.204357864358</v>
      </c>
      <c r="M19" s="1">
        <v>4.45</v>
      </c>
      <c r="N19" s="7">
        <v>130.66666666666666</v>
      </c>
    </row>
    <row r="20" spans="1:14" x14ac:dyDescent="0.25">
      <c r="A20" s="9">
        <v>40816</v>
      </c>
      <c r="B20">
        <v>2640306</v>
      </c>
      <c r="C20" s="4">
        <v>2424357.7999999998</v>
      </c>
      <c r="D20">
        <v>10823439</v>
      </c>
      <c r="E20">
        <v>10429070</v>
      </c>
      <c r="F20" s="6">
        <v>10.3333333333333</v>
      </c>
      <c r="G20" s="1">
        <v>99.1</v>
      </c>
      <c r="H20">
        <v>430092</v>
      </c>
      <c r="I20">
        <v>3850324</v>
      </c>
      <c r="J20" s="1">
        <v>1.4127000000000001</v>
      </c>
      <c r="K20" s="6">
        <v>-0.20163393012341499</v>
      </c>
      <c r="L20" s="6">
        <v>103.268699416526</v>
      </c>
      <c r="M20" s="1">
        <v>4.1399999999999997</v>
      </c>
      <c r="N20" s="7">
        <v>199.33333333333334</v>
      </c>
    </row>
    <row r="21" spans="1:14" x14ac:dyDescent="0.25">
      <c r="A21" s="9">
        <v>40908</v>
      </c>
      <c r="B21">
        <v>2453959</v>
      </c>
      <c r="C21" s="4">
        <v>2515684.9</v>
      </c>
      <c r="D21">
        <v>10339113</v>
      </c>
      <c r="E21">
        <v>10266882</v>
      </c>
      <c r="F21" s="6">
        <v>10.7</v>
      </c>
      <c r="G21" s="1">
        <v>98.5</v>
      </c>
      <c r="H21">
        <v>427809</v>
      </c>
      <c r="I21">
        <v>3645917</v>
      </c>
      <c r="J21" s="1">
        <v>1.3482000000000001</v>
      </c>
      <c r="K21" s="6">
        <v>1.06245863378271</v>
      </c>
      <c r="L21" s="6">
        <v>102.98132275132301</v>
      </c>
      <c r="M21" s="1">
        <v>4.2</v>
      </c>
      <c r="N21" s="7">
        <v>190</v>
      </c>
    </row>
    <row r="22" spans="1:14" x14ac:dyDescent="0.25">
      <c r="A22" s="9">
        <v>40999</v>
      </c>
      <c r="B22">
        <v>2572057</v>
      </c>
      <c r="C22" s="4">
        <v>2391863.1</v>
      </c>
      <c r="D22">
        <v>10394659</v>
      </c>
      <c r="E22">
        <v>10251372</v>
      </c>
      <c r="F22" s="6">
        <v>11.033333333333299</v>
      </c>
      <c r="G22" s="1">
        <v>97.8</v>
      </c>
      <c r="H22">
        <v>412241</v>
      </c>
      <c r="I22">
        <v>3092410</v>
      </c>
      <c r="J22" s="1">
        <v>1.3108</v>
      </c>
      <c r="K22" s="6">
        <v>0.20681097476905</v>
      </c>
      <c r="L22" s="6">
        <v>112.416661856662</v>
      </c>
      <c r="M22" s="1">
        <v>4.0599999999999996</v>
      </c>
      <c r="N22" s="7">
        <v>323.33333333333331</v>
      </c>
    </row>
    <row r="23" spans="1:14" x14ac:dyDescent="0.25">
      <c r="A23" s="9">
        <v>41090</v>
      </c>
      <c r="B23">
        <v>2597253</v>
      </c>
      <c r="C23" s="4">
        <v>2440070.2999999998</v>
      </c>
      <c r="D23">
        <v>10955344</v>
      </c>
      <c r="E23">
        <v>10759316</v>
      </c>
      <c r="F23" s="6">
        <v>11.4</v>
      </c>
      <c r="G23" s="1">
        <v>97.4</v>
      </c>
      <c r="H23">
        <v>424580</v>
      </c>
      <c r="I23">
        <v>3655567</v>
      </c>
      <c r="J23" s="1">
        <v>1.2814000000000001</v>
      </c>
      <c r="K23" s="6">
        <v>1.3862135388002199</v>
      </c>
      <c r="L23" s="6">
        <v>103.003144697493</v>
      </c>
      <c r="M23" s="1">
        <v>3.89</v>
      </c>
      <c r="N23" s="7">
        <v>263.33333333333331</v>
      </c>
    </row>
    <row r="24" spans="1:14" x14ac:dyDescent="0.25">
      <c r="A24" s="9">
        <v>41182</v>
      </c>
      <c r="B24">
        <v>3036272</v>
      </c>
      <c r="C24" s="4">
        <v>2430495.2000000002</v>
      </c>
      <c r="D24">
        <v>10952060</v>
      </c>
      <c r="E24">
        <v>10892677</v>
      </c>
      <c r="F24" s="6">
        <v>11.6</v>
      </c>
      <c r="G24" s="1">
        <v>97.3</v>
      </c>
      <c r="H24">
        <v>418594</v>
      </c>
      <c r="I24">
        <v>3699250</v>
      </c>
      <c r="J24" s="1">
        <v>1.2502</v>
      </c>
      <c r="K24" s="6">
        <v>-0.122137404580139</v>
      </c>
      <c r="L24" s="6">
        <v>102.990684453228</v>
      </c>
      <c r="M24" s="1">
        <v>3.59</v>
      </c>
      <c r="N24" s="7">
        <v>215</v>
      </c>
    </row>
    <row r="25" spans="1:14" x14ac:dyDescent="0.25">
      <c r="A25" s="9">
        <v>41274</v>
      </c>
      <c r="B25">
        <v>2412042</v>
      </c>
      <c r="C25" s="4">
        <v>2519475.7999999998</v>
      </c>
      <c r="D25">
        <v>10498169</v>
      </c>
      <c r="E25">
        <v>10396031</v>
      </c>
      <c r="F25" s="6">
        <v>11.966666666666701</v>
      </c>
      <c r="G25" s="1">
        <v>95.4</v>
      </c>
      <c r="H25">
        <v>425030</v>
      </c>
      <c r="I25">
        <v>3450060</v>
      </c>
      <c r="J25" s="1">
        <v>1.2967</v>
      </c>
      <c r="K25" s="6">
        <v>0.828832501103966</v>
      </c>
      <c r="L25" s="6">
        <v>101.975976953803</v>
      </c>
      <c r="M25" s="1">
        <v>3.12</v>
      </c>
      <c r="N25" s="7">
        <v>339.66666666666669</v>
      </c>
    </row>
    <row r="26" spans="1:14" x14ac:dyDescent="0.25">
      <c r="A26" s="9">
        <v>41364</v>
      </c>
      <c r="B26">
        <v>2477166</v>
      </c>
      <c r="C26" s="4">
        <v>3033769.4</v>
      </c>
      <c r="D26">
        <v>10616077</v>
      </c>
      <c r="E26">
        <v>10367961</v>
      </c>
      <c r="F26" s="6">
        <v>12.2</v>
      </c>
      <c r="G26" s="1">
        <v>95.4</v>
      </c>
      <c r="H26">
        <v>398125</v>
      </c>
      <c r="I26">
        <v>2891341</v>
      </c>
      <c r="J26" s="1">
        <v>1.3206</v>
      </c>
      <c r="K26" s="6">
        <v>-0.22908735639928299</v>
      </c>
      <c r="L26" s="6">
        <v>105.205773406947</v>
      </c>
      <c r="M26" s="1">
        <v>2.96</v>
      </c>
      <c r="N26" s="7">
        <v>374</v>
      </c>
    </row>
    <row r="27" spans="1:14" x14ac:dyDescent="0.25">
      <c r="A27" s="9">
        <v>41455</v>
      </c>
      <c r="B27">
        <v>2487098</v>
      </c>
      <c r="C27" s="4">
        <v>3124281.2</v>
      </c>
      <c r="D27">
        <v>11150390</v>
      </c>
      <c r="E27">
        <v>10876891</v>
      </c>
      <c r="F27" s="6">
        <v>12.2</v>
      </c>
      <c r="G27" s="1">
        <v>96.3</v>
      </c>
      <c r="H27">
        <v>406802</v>
      </c>
      <c r="I27">
        <v>3597987</v>
      </c>
      <c r="J27" s="1">
        <v>1.3062</v>
      </c>
      <c r="K27" s="6">
        <v>0.92520682086779205</v>
      </c>
      <c r="L27" s="6">
        <v>99.367261967501094</v>
      </c>
      <c r="M27" s="1">
        <v>2.74</v>
      </c>
      <c r="N27" s="7">
        <v>412.33333333333331</v>
      </c>
    </row>
    <row r="28" spans="1:14" x14ac:dyDescent="0.25">
      <c r="A28" s="9">
        <v>41547</v>
      </c>
      <c r="B28">
        <v>2601078</v>
      </c>
      <c r="C28" s="4">
        <v>3119321</v>
      </c>
      <c r="D28">
        <v>11375574</v>
      </c>
      <c r="E28">
        <v>10897965</v>
      </c>
      <c r="F28" s="6">
        <v>12.1</v>
      </c>
      <c r="G28" s="1">
        <v>96.3</v>
      </c>
      <c r="H28">
        <v>412491</v>
      </c>
      <c r="I28">
        <v>3665216</v>
      </c>
      <c r="J28" s="1">
        <v>1.3242</v>
      </c>
      <c r="K28" s="6">
        <v>-0.180668473351391</v>
      </c>
      <c r="L28" s="6">
        <v>107.44796526339999</v>
      </c>
      <c r="M28" s="1">
        <v>3.12</v>
      </c>
      <c r="N28" s="7">
        <v>228.66666666666666</v>
      </c>
    </row>
    <row r="29" spans="1:14" x14ac:dyDescent="0.25">
      <c r="A29" s="9">
        <v>41639</v>
      </c>
      <c r="B29">
        <v>2509534</v>
      </c>
      <c r="C29" s="4">
        <v>3242030</v>
      </c>
      <c r="D29">
        <v>10738637</v>
      </c>
      <c r="E29">
        <v>10536685</v>
      </c>
      <c r="F29" s="6">
        <v>12.0666666666667</v>
      </c>
      <c r="G29" s="3">
        <v>97</v>
      </c>
      <c r="H29">
        <v>427333</v>
      </c>
      <c r="I29">
        <v>3617496</v>
      </c>
      <c r="J29" s="8">
        <v>1.361</v>
      </c>
      <c r="K29" s="6">
        <v>0.29830735713088702</v>
      </c>
      <c r="L29" s="6">
        <v>104.666261057783</v>
      </c>
      <c r="M29" s="1">
        <v>3</v>
      </c>
      <c r="N29" s="7">
        <v>317.66666666666669</v>
      </c>
    </row>
    <row r="30" spans="1:14" x14ac:dyDescent="0.25">
      <c r="A30" s="9">
        <v>41729</v>
      </c>
      <c r="B30">
        <v>2709057</v>
      </c>
      <c r="C30" s="4">
        <v>3143855.8</v>
      </c>
      <c r="D30">
        <v>11113834</v>
      </c>
      <c r="E30">
        <v>10851911</v>
      </c>
      <c r="F30" s="6">
        <v>12.033333333333299</v>
      </c>
      <c r="G30" s="1">
        <v>97.3</v>
      </c>
      <c r="H30">
        <v>415968</v>
      </c>
      <c r="I30">
        <v>3103641</v>
      </c>
      <c r="J30" s="1">
        <v>1.3695999999999999</v>
      </c>
      <c r="K30" s="6">
        <v>-0.39767410773959699</v>
      </c>
      <c r="L30" s="6">
        <v>103.80442247527</v>
      </c>
      <c r="M30" s="1">
        <v>2.79</v>
      </c>
      <c r="N30" s="7">
        <v>291.33333333333331</v>
      </c>
    </row>
    <row r="31" spans="1:14" x14ac:dyDescent="0.25">
      <c r="A31" s="9">
        <v>41820</v>
      </c>
      <c r="B31">
        <v>2760169</v>
      </c>
      <c r="C31" s="4">
        <v>3219867.6</v>
      </c>
      <c r="D31">
        <v>11805457</v>
      </c>
      <c r="E31">
        <v>11501248</v>
      </c>
      <c r="F31" s="6">
        <v>11.733333333333301</v>
      </c>
      <c r="G31" s="1">
        <v>97.8</v>
      </c>
      <c r="H31">
        <v>416168</v>
      </c>
      <c r="I31">
        <v>3649755</v>
      </c>
      <c r="J31" s="1">
        <v>1.3711</v>
      </c>
      <c r="K31" s="6">
        <v>0.84549572219425895</v>
      </c>
      <c r="L31" s="6">
        <v>106.44512025012</v>
      </c>
      <c r="M31" s="1">
        <v>2.39</v>
      </c>
      <c r="N31" s="7">
        <v>174.33333333333334</v>
      </c>
    </row>
    <row r="32" spans="1:14" x14ac:dyDescent="0.25">
      <c r="A32" s="9">
        <v>41912</v>
      </c>
      <c r="B32">
        <v>2817839</v>
      </c>
      <c r="C32" s="4">
        <v>3237356.8</v>
      </c>
      <c r="D32">
        <v>12231656</v>
      </c>
      <c r="E32">
        <v>11810997</v>
      </c>
      <c r="F32" s="6">
        <v>11.6</v>
      </c>
      <c r="G32" s="1">
        <v>97.5</v>
      </c>
      <c r="H32">
        <v>418457</v>
      </c>
      <c r="I32">
        <v>3732545</v>
      </c>
      <c r="J32" s="1">
        <v>1.3255999999999999</v>
      </c>
      <c r="K32" s="6">
        <v>-0.38926040523005301</v>
      </c>
      <c r="L32" s="6">
        <v>100.46670932931799</v>
      </c>
      <c r="M32" s="1">
        <v>2</v>
      </c>
      <c r="N32" s="7">
        <v>293.66666666666669</v>
      </c>
    </row>
    <row r="33" spans="1:14" x14ac:dyDescent="0.25">
      <c r="A33" s="9">
        <v>42004</v>
      </c>
      <c r="B33">
        <v>2704678</v>
      </c>
      <c r="C33" s="4">
        <v>3363572.1</v>
      </c>
      <c r="D33">
        <v>11512948</v>
      </c>
      <c r="E33">
        <v>11574072</v>
      </c>
      <c r="F33" s="6">
        <v>11.5666666666667</v>
      </c>
      <c r="G33" s="1">
        <v>97.6</v>
      </c>
      <c r="H33">
        <v>424112</v>
      </c>
      <c r="I33">
        <v>3503262</v>
      </c>
      <c r="J33" s="1">
        <v>1.2498</v>
      </c>
      <c r="K33" s="6">
        <v>0.106880427521709</v>
      </c>
      <c r="L33" s="6">
        <v>74.588258454106295</v>
      </c>
      <c r="M33" s="1">
        <v>1.64</v>
      </c>
      <c r="N33" s="7">
        <v>252.66666666666666</v>
      </c>
    </row>
    <row r="34" spans="1:14" x14ac:dyDescent="0.25">
      <c r="A34" s="9">
        <v>42094</v>
      </c>
      <c r="B34">
        <v>2920601</v>
      </c>
      <c r="C34" s="4">
        <v>3297570.3</v>
      </c>
      <c r="D34">
        <v>11454447</v>
      </c>
      <c r="E34">
        <v>11299809</v>
      </c>
      <c r="F34" s="6">
        <v>11.366666666666699</v>
      </c>
      <c r="G34" s="1">
        <v>99.4</v>
      </c>
      <c r="H34">
        <v>410163</v>
      </c>
      <c r="I34">
        <v>3115320</v>
      </c>
      <c r="J34" s="1">
        <v>1.1261000000000001</v>
      </c>
      <c r="K34" s="6">
        <v>-0.87748565327640604</v>
      </c>
      <c r="L34" s="6">
        <v>51.848595959595997</v>
      </c>
      <c r="M34" s="1">
        <v>1.2</v>
      </c>
      <c r="N34" s="7">
        <v>339.33333333333331</v>
      </c>
    </row>
    <row r="35" spans="1:14" x14ac:dyDescent="0.25">
      <c r="A35" s="9">
        <v>42185</v>
      </c>
      <c r="B35">
        <v>2835669</v>
      </c>
      <c r="C35" s="4">
        <v>3408325.8</v>
      </c>
      <c r="D35">
        <v>11700688</v>
      </c>
      <c r="E35">
        <v>11511939</v>
      </c>
      <c r="F35" s="6">
        <v>11.133333333333301</v>
      </c>
      <c r="G35" s="1">
        <v>100.2</v>
      </c>
      <c r="H35">
        <v>409748</v>
      </c>
      <c r="I35">
        <v>3641163</v>
      </c>
      <c r="J35" s="1">
        <v>1.1052999999999999</v>
      </c>
      <c r="K35" s="6">
        <v>1.6055740684641</v>
      </c>
      <c r="L35" s="6">
        <v>60.516113516113499</v>
      </c>
      <c r="M35" s="1">
        <v>1.49</v>
      </c>
      <c r="N35" s="7">
        <v>318</v>
      </c>
    </row>
    <row r="36" spans="1:14" x14ac:dyDescent="0.25">
      <c r="A36" s="9">
        <v>42277</v>
      </c>
      <c r="B36">
        <v>2791273</v>
      </c>
      <c r="C36" s="4">
        <v>3413656.5</v>
      </c>
      <c r="D36">
        <v>11749998</v>
      </c>
      <c r="E36">
        <v>11594828</v>
      </c>
      <c r="F36" s="6">
        <v>10.733333333333301</v>
      </c>
      <c r="G36" s="1">
        <v>100.3</v>
      </c>
      <c r="H36">
        <v>411717</v>
      </c>
      <c r="I36">
        <v>3752357</v>
      </c>
      <c r="J36" s="1">
        <v>1.1116999999999999</v>
      </c>
      <c r="K36" s="6">
        <v>-0.43066322136089202</v>
      </c>
      <c r="L36" s="6">
        <v>49.019454378150002</v>
      </c>
      <c r="M36" s="1">
        <v>1.63</v>
      </c>
      <c r="N36" s="7">
        <v>134</v>
      </c>
    </row>
    <row r="37" spans="1:14" x14ac:dyDescent="0.25">
      <c r="A37" s="9">
        <v>42369</v>
      </c>
      <c r="B37">
        <v>2506882</v>
      </c>
      <c r="C37" s="4">
        <v>3547299</v>
      </c>
      <c r="D37">
        <v>11255082</v>
      </c>
      <c r="E37">
        <v>11426555</v>
      </c>
      <c r="F37" s="6">
        <v>10.633333333333301</v>
      </c>
      <c r="G37" s="1">
        <v>100.1</v>
      </c>
      <c r="H37">
        <v>421138</v>
      </c>
      <c r="I37">
        <v>3614494</v>
      </c>
      <c r="J37" s="1">
        <v>1.0952999999999999</v>
      </c>
      <c r="K37" s="6">
        <v>-2.32898589299948E-2</v>
      </c>
      <c r="L37" s="6">
        <v>42.263525524395099</v>
      </c>
      <c r="M37" s="1">
        <v>1.44</v>
      </c>
      <c r="N37" s="7">
        <v>142</v>
      </c>
    </row>
    <row r="38" spans="1:14" x14ac:dyDescent="0.25">
      <c r="A38" s="9">
        <v>42460</v>
      </c>
      <c r="B38">
        <v>2700893</v>
      </c>
      <c r="C38" s="4">
        <v>3374259.8</v>
      </c>
      <c r="D38">
        <v>11981810</v>
      </c>
      <c r="E38">
        <v>11570804</v>
      </c>
      <c r="F38" s="6">
        <v>10.4333333333333</v>
      </c>
      <c r="G38" s="1">
        <v>101.4</v>
      </c>
      <c r="H38">
        <v>394006</v>
      </c>
      <c r="I38">
        <v>3170257</v>
      </c>
      <c r="J38" s="8">
        <v>1.1020000000000001</v>
      </c>
      <c r="K38" s="6">
        <v>-1.08489467203569</v>
      </c>
      <c r="L38" s="6">
        <v>33.1382654704394</v>
      </c>
      <c r="M38" s="1">
        <v>1.29</v>
      </c>
      <c r="N38" s="7">
        <v>379.66666666666669</v>
      </c>
    </row>
    <row r="39" spans="1:14" x14ac:dyDescent="0.25">
      <c r="A39" s="9">
        <v>42551</v>
      </c>
      <c r="B39">
        <v>2747936</v>
      </c>
      <c r="C39" s="4">
        <v>3470371.2</v>
      </c>
      <c r="D39">
        <v>12618477</v>
      </c>
      <c r="E39">
        <v>12510605</v>
      </c>
      <c r="F39" s="6">
        <v>10.233333333333301</v>
      </c>
      <c r="G39" s="1">
        <v>101.3</v>
      </c>
      <c r="H39">
        <v>401660</v>
      </c>
      <c r="I39">
        <v>3715133</v>
      </c>
      <c r="J39" s="1">
        <v>1.1292</v>
      </c>
      <c r="K39" s="6">
        <v>1.4399623187430799</v>
      </c>
      <c r="L39" s="6">
        <v>45.288667628667604</v>
      </c>
      <c r="M39" s="1">
        <v>1.1499999999999999</v>
      </c>
      <c r="N39" s="7">
        <v>417.66666666666669</v>
      </c>
    </row>
    <row r="40" spans="1:14" x14ac:dyDescent="0.25">
      <c r="A40" s="9">
        <v>42643</v>
      </c>
      <c r="B40">
        <v>2780344</v>
      </c>
      <c r="C40" s="4">
        <v>3392714.1</v>
      </c>
      <c r="D40">
        <v>12267827</v>
      </c>
      <c r="E40">
        <v>11946523</v>
      </c>
      <c r="F40" s="6">
        <v>9.9666666666666703</v>
      </c>
      <c r="G40" s="1">
        <v>101.3</v>
      </c>
      <c r="H40">
        <v>401856</v>
      </c>
      <c r="I40">
        <v>3714191</v>
      </c>
      <c r="J40" s="1">
        <v>1.1166</v>
      </c>
      <c r="K40" s="6">
        <v>-5.96995124539971E-2</v>
      </c>
      <c r="L40" s="6">
        <v>45.107305456218498</v>
      </c>
      <c r="M40" s="1">
        <v>0.82</v>
      </c>
      <c r="N40" s="7">
        <v>241</v>
      </c>
    </row>
    <row r="41" spans="1:14" x14ac:dyDescent="0.25">
      <c r="A41" s="9">
        <v>42735</v>
      </c>
      <c r="B41">
        <v>2603146</v>
      </c>
      <c r="C41" s="4">
        <v>3526171.7</v>
      </c>
      <c r="D41">
        <v>12007977</v>
      </c>
      <c r="E41">
        <v>11884239</v>
      </c>
      <c r="F41" s="6">
        <v>9.8333333333333393</v>
      </c>
      <c r="G41" s="1">
        <v>102.9</v>
      </c>
      <c r="H41">
        <v>420334</v>
      </c>
      <c r="I41">
        <v>3647510</v>
      </c>
      <c r="J41" s="1">
        <v>1.0789</v>
      </c>
      <c r="K41" s="6">
        <v>0.44137656390006103</v>
      </c>
      <c r="L41" s="6">
        <v>49.521190476190498</v>
      </c>
      <c r="M41" s="1">
        <v>1.17</v>
      </c>
      <c r="N41" s="7">
        <v>132.33333333333334</v>
      </c>
    </row>
    <row r="42" spans="1:14" x14ac:dyDescent="0.25">
      <c r="A42" s="9">
        <v>42825</v>
      </c>
      <c r="B42">
        <v>2664819</v>
      </c>
      <c r="C42" s="4">
        <v>3435043.1</v>
      </c>
      <c r="D42">
        <v>11999105</v>
      </c>
      <c r="E42">
        <v>11658532</v>
      </c>
      <c r="F42" s="6">
        <v>9.6</v>
      </c>
      <c r="G42" s="1">
        <v>103.1</v>
      </c>
      <c r="H42">
        <v>420874</v>
      </c>
      <c r="I42">
        <v>3321045</v>
      </c>
      <c r="J42" s="1">
        <v>1.0648</v>
      </c>
      <c r="K42" s="6">
        <v>-8.9209013414404598E-2</v>
      </c>
      <c r="L42" s="6">
        <v>53.191375933245503</v>
      </c>
      <c r="M42" s="1">
        <v>1.41</v>
      </c>
      <c r="N42" s="7">
        <v>217.33333333333334</v>
      </c>
    </row>
    <row r="43" spans="1:14" x14ac:dyDescent="0.25">
      <c r="A43" s="9">
        <v>42916</v>
      </c>
      <c r="B43">
        <v>2793340</v>
      </c>
      <c r="C43" s="4">
        <v>3517745.4</v>
      </c>
      <c r="D43">
        <v>12743913</v>
      </c>
      <c r="E43">
        <v>12415383</v>
      </c>
      <c r="F43" s="6">
        <v>9.2333333333333396</v>
      </c>
      <c r="G43" s="1">
        <v>104.1</v>
      </c>
      <c r="H43">
        <v>418708</v>
      </c>
      <c r="I43">
        <v>3803899</v>
      </c>
      <c r="J43" s="1">
        <v>1.1021000000000001</v>
      </c>
      <c r="K43" s="6">
        <v>1.2268924236912599</v>
      </c>
      <c r="L43" s="6">
        <v>49.663256258234497</v>
      </c>
      <c r="M43" s="1">
        <v>1.27</v>
      </c>
      <c r="N43" s="7">
        <v>197</v>
      </c>
    </row>
    <row r="44" spans="1:14" x14ac:dyDescent="0.25">
      <c r="A44" s="9">
        <v>43008</v>
      </c>
      <c r="B44">
        <v>2984070</v>
      </c>
      <c r="C44" s="4">
        <v>3494669.9</v>
      </c>
      <c r="D44">
        <v>13019935</v>
      </c>
      <c r="E44">
        <v>12646946</v>
      </c>
      <c r="F44" s="6">
        <v>9</v>
      </c>
      <c r="G44" s="1">
        <v>105.4</v>
      </c>
      <c r="H44">
        <v>416378</v>
      </c>
      <c r="I44">
        <v>3802853</v>
      </c>
      <c r="J44" s="1">
        <v>1.1746000000000001</v>
      </c>
      <c r="K44" s="6">
        <v>-0.101274093433507</v>
      </c>
      <c r="L44" s="6">
        <v>50.343225212790401</v>
      </c>
      <c r="M44" s="1">
        <v>1.3</v>
      </c>
      <c r="N44" s="7">
        <v>194.66666666666666</v>
      </c>
    </row>
    <row r="45" spans="1:14" x14ac:dyDescent="0.25">
      <c r="A45" s="9">
        <v>43100</v>
      </c>
      <c r="B45">
        <v>2897228</v>
      </c>
      <c r="C45" s="4">
        <v>3658293.5</v>
      </c>
      <c r="D45">
        <v>12799848</v>
      </c>
      <c r="E45">
        <v>12657910</v>
      </c>
      <c r="F45" s="6">
        <v>8.7333333333333307</v>
      </c>
      <c r="G45" s="1">
        <v>107.1</v>
      </c>
      <c r="H45">
        <v>427907</v>
      </c>
      <c r="I45">
        <v>3731525</v>
      </c>
      <c r="J45" s="1">
        <v>1.1774</v>
      </c>
      <c r="K45" s="6">
        <v>0.37934530233164598</v>
      </c>
      <c r="L45" s="6">
        <v>58.712722462722503</v>
      </c>
      <c r="M45" s="1">
        <v>1.25</v>
      </c>
      <c r="N45" s="7">
        <v>290.66666666666669</v>
      </c>
    </row>
    <row r="46" spans="1:14" x14ac:dyDescent="0.25">
      <c r="A46" s="9">
        <v>43190</v>
      </c>
      <c r="B46">
        <v>2789956</v>
      </c>
      <c r="C46" s="4">
        <v>3530421.4</v>
      </c>
      <c r="D46">
        <v>12966974</v>
      </c>
      <c r="E46">
        <v>12486374</v>
      </c>
      <c r="F46" s="6">
        <v>8.6</v>
      </c>
      <c r="G46" s="3">
        <v>106</v>
      </c>
      <c r="H46">
        <v>422888</v>
      </c>
      <c r="I46">
        <v>3309621</v>
      </c>
      <c r="J46" s="1">
        <v>1.2292000000000001</v>
      </c>
      <c r="K46" s="6">
        <v>-0.23782374979637899</v>
      </c>
      <c r="L46" s="6">
        <v>64.743637900746606</v>
      </c>
      <c r="M46" s="1">
        <v>1.37</v>
      </c>
      <c r="N46" s="7">
        <v>452.33333333333331</v>
      </c>
    </row>
    <row r="47" spans="1:14" x14ac:dyDescent="0.25">
      <c r="A47" s="9">
        <v>43281</v>
      </c>
      <c r="B47">
        <v>2795527</v>
      </c>
      <c r="C47" s="4">
        <v>3626340.7</v>
      </c>
      <c r="D47">
        <v>13721488</v>
      </c>
      <c r="E47">
        <v>13608132</v>
      </c>
      <c r="F47" s="6">
        <v>8.3000000000000007</v>
      </c>
      <c r="G47" s="1">
        <v>106.4</v>
      </c>
      <c r="H47">
        <v>425460</v>
      </c>
      <c r="I47">
        <v>3833917</v>
      </c>
      <c r="J47" s="1">
        <v>1.1915</v>
      </c>
      <c r="K47" s="6">
        <v>1.6785317745411901</v>
      </c>
      <c r="L47" s="6">
        <v>71.646128364389199</v>
      </c>
      <c r="M47" s="1">
        <v>1.34</v>
      </c>
      <c r="N47" s="7">
        <v>274.33333333333331</v>
      </c>
    </row>
    <row r="48" spans="1:14" x14ac:dyDescent="0.25">
      <c r="A48" s="9">
        <v>43373</v>
      </c>
      <c r="B48">
        <v>2623985</v>
      </c>
      <c r="C48" s="4">
        <v>3597165.7</v>
      </c>
      <c r="D48">
        <v>13757028</v>
      </c>
      <c r="E48">
        <v>13386957</v>
      </c>
      <c r="F48" s="6">
        <v>8.0333333333333297</v>
      </c>
      <c r="G48" s="1">
        <v>106.3</v>
      </c>
      <c r="H48">
        <v>424281</v>
      </c>
      <c r="I48">
        <v>3806681</v>
      </c>
      <c r="J48" s="1">
        <v>1.1629</v>
      </c>
      <c r="K48" s="6">
        <v>0.28905447070915802</v>
      </c>
      <c r="L48" s="6">
        <v>73.302795564338993</v>
      </c>
      <c r="M48" s="1">
        <v>1.38</v>
      </c>
      <c r="N48" s="7">
        <v>101.33333333333333</v>
      </c>
    </row>
    <row r="49" spans="1:14" x14ac:dyDescent="0.25">
      <c r="A49" s="9">
        <v>43465</v>
      </c>
      <c r="B49">
        <v>2207751</v>
      </c>
      <c r="C49" s="4">
        <v>3768245.5</v>
      </c>
      <c r="D49">
        <v>13633160</v>
      </c>
      <c r="E49">
        <v>13553998</v>
      </c>
      <c r="F49" s="6">
        <v>7.93333333333333</v>
      </c>
      <c r="G49" s="1">
        <v>105.9</v>
      </c>
      <c r="H49">
        <v>437044</v>
      </c>
      <c r="I49">
        <v>3705365</v>
      </c>
      <c r="J49" s="1">
        <v>1.1414</v>
      </c>
      <c r="K49" s="6">
        <v>0.17293281239990399</v>
      </c>
      <c r="L49" s="6">
        <v>64.437560909300004</v>
      </c>
      <c r="M49" s="1">
        <v>1.45</v>
      </c>
      <c r="N49" s="7">
        <v>109.33333333333333</v>
      </c>
    </row>
    <row r="50" spans="1:14" x14ac:dyDescent="0.25">
      <c r="A50" s="9">
        <v>43555</v>
      </c>
      <c r="B50">
        <v>2613986</v>
      </c>
      <c r="C50" s="4">
        <v>3656370.6</v>
      </c>
      <c r="D50">
        <v>12084914</v>
      </c>
      <c r="E50">
        <v>11778554</v>
      </c>
      <c r="F50" s="6">
        <v>7.8</v>
      </c>
      <c r="G50" s="1">
        <v>106.3</v>
      </c>
      <c r="H50">
        <v>429486</v>
      </c>
      <c r="I50">
        <v>3490007</v>
      </c>
      <c r="J50" s="1">
        <v>1.1357999999999999</v>
      </c>
      <c r="K50" s="6">
        <v>-0.70971867007673395</v>
      </c>
      <c r="L50" s="6">
        <v>60.702674028065303</v>
      </c>
      <c r="M50" s="1">
        <v>1.19</v>
      </c>
      <c r="N50" s="7">
        <v>298.66666666666669</v>
      </c>
    </row>
    <row r="51" spans="1:14" x14ac:dyDescent="0.25">
      <c r="A51" s="9">
        <v>43646</v>
      </c>
      <c r="B51">
        <v>2599512</v>
      </c>
      <c r="C51" s="4">
        <v>3733277.5</v>
      </c>
      <c r="D51">
        <v>12538691</v>
      </c>
      <c r="E51">
        <v>12321096</v>
      </c>
      <c r="F51" s="6">
        <v>7.6</v>
      </c>
      <c r="G51" s="1">
        <v>105.6</v>
      </c>
      <c r="H51">
        <v>420847</v>
      </c>
      <c r="I51">
        <v>3842884</v>
      </c>
      <c r="J51" s="1">
        <v>1.1236999999999999</v>
      </c>
      <c r="K51" s="6">
        <v>1.65496812415484</v>
      </c>
      <c r="L51" s="6">
        <v>64.985770092226602</v>
      </c>
      <c r="M51" s="1">
        <v>0.94</v>
      </c>
      <c r="N51" s="7">
        <v>252</v>
      </c>
    </row>
    <row r="52" spans="1:14" x14ac:dyDescent="0.25">
      <c r="A52" s="9">
        <v>43738</v>
      </c>
      <c r="B52">
        <v>2652797</v>
      </c>
      <c r="C52" s="4">
        <v>3723372.5</v>
      </c>
      <c r="D52">
        <v>12135926</v>
      </c>
      <c r="E52">
        <v>12183338</v>
      </c>
      <c r="F52" s="6">
        <v>7.5</v>
      </c>
      <c r="G52" s="3">
        <v>105</v>
      </c>
      <c r="H52">
        <v>414575</v>
      </c>
      <c r="I52">
        <v>3878048</v>
      </c>
      <c r="J52" s="1">
        <v>1.1119000000000001</v>
      </c>
      <c r="K52" s="6">
        <v>-0.15203344735844401</v>
      </c>
      <c r="L52" s="6">
        <v>59.739888951628103</v>
      </c>
      <c r="M52" s="1">
        <v>0.38</v>
      </c>
      <c r="N52" s="7">
        <v>175.66666666666666</v>
      </c>
    </row>
    <row r="53" spans="1:14" x14ac:dyDescent="0.25">
      <c r="A53" s="9">
        <v>43830</v>
      </c>
      <c r="B53">
        <v>2570818</v>
      </c>
      <c r="C53" s="4">
        <v>3898609.6</v>
      </c>
      <c r="D53">
        <v>11622691</v>
      </c>
      <c r="E53">
        <v>11907482</v>
      </c>
      <c r="F53" s="6">
        <v>7.4666666666666703</v>
      </c>
      <c r="G53" s="3">
        <v>104</v>
      </c>
      <c r="H53">
        <v>403089</v>
      </c>
      <c r="I53">
        <v>3786570</v>
      </c>
      <c r="J53" s="1">
        <v>1.1071</v>
      </c>
      <c r="K53" s="6">
        <v>0.222053038954444</v>
      </c>
      <c r="L53" s="6">
        <v>60.301003199698897</v>
      </c>
      <c r="M53" s="1">
        <v>0.47</v>
      </c>
      <c r="N53" s="7">
        <v>257</v>
      </c>
    </row>
    <row r="54" spans="1:14" x14ac:dyDescent="0.25">
      <c r="A54" s="9">
        <v>43921</v>
      </c>
      <c r="B54">
        <v>2631096</v>
      </c>
      <c r="C54" s="4">
        <v>3361592.1</v>
      </c>
      <c r="D54">
        <v>11757100</v>
      </c>
      <c r="E54">
        <v>11690311</v>
      </c>
      <c r="F54" s="6">
        <v>7.3666666666666698</v>
      </c>
      <c r="G54" s="1">
        <v>102.3</v>
      </c>
      <c r="H54">
        <v>398301</v>
      </c>
      <c r="I54">
        <v>3060173</v>
      </c>
      <c r="J54" s="1">
        <v>1.1027</v>
      </c>
      <c r="K54">
        <v>-0.60138000886243903</v>
      </c>
      <c r="L54" s="6">
        <v>49.096131971892802</v>
      </c>
      <c r="M54" s="1">
        <v>0.42</v>
      </c>
      <c r="N54" s="7">
        <v>404.66666666666669</v>
      </c>
    </row>
    <row r="55" spans="1:14" x14ac:dyDescent="0.25">
      <c r="A55" s="9">
        <v>44012</v>
      </c>
      <c r="B55">
        <v>2384882</v>
      </c>
      <c r="C55" s="4">
        <v>3096017.9</v>
      </c>
      <c r="D55">
        <v>11263100</v>
      </c>
      <c r="E55">
        <v>11127447</v>
      </c>
      <c r="F55" s="6">
        <v>7.7</v>
      </c>
      <c r="G55" s="1">
        <v>86.6</v>
      </c>
      <c r="H55">
        <v>353734</v>
      </c>
      <c r="I55">
        <v>3095368</v>
      </c>
      <c r="J55" s="1">
        <v>1.1013999999999999</v>
      </c>
      <c r="K55">
        <v>0.757865240096804</v>
      </c>
      <c r="L55" s="6">
        <v>31.451851851851899</v>
      </c>
      <c r="M55" s="1">
        <v>0.49</v>
      </c>
      <c r="N55" s="7">
        <v>175.33333333333334</v>
      </c>
    </row>
    <row r="56" spans="1:14" x14ac:dyDescent="0.25">
      <c r="A56" s="9">
        <v>44104</v>
      </c>
      <c r="B56">
        <v>2752924</v>
      </c>
      <c r="C56" s="4">
        <v>3419117.5</v>
      </c>
      <c r="D56">
        <v>11882946</v>
      </c>
      <c r="E56">
        <v>11949534</v>
      </c>
      <c r="F56" s="6">
        <v>8.56666666666667</v>
      </c>
      <c r="G56" s="1">
        <v>100.5</v>
      </c>
      <c r="H56">
        <v>387602</v>
      </c>
      <c r="I56">
        <v>3445122</v>
      </c>
      <c r="J56" s="1">
        <v>1.1689000000000001</v>
      </c>
      <c r="K56">
        <v>-0.40768598697932801</v>
      </c>
      <c r="L56" s="6">
        <v>42.312498692933502</v>
      </c>
      <c r="M56" s="1">
        <v>0.26</v>
      </c>
      <c r="N56" s="7">
        <v>148.33333333333334</v>
      </c>
    </row>
    <row r="57" spans="1:14" x14ac:dyDescent="0.25">
      <c r="A57" s="9">
        <v>44196</v>
      </c>
      <c r="B57">
        <v>2667403</v>
      </c>
      <c r="C57" s="4">
        <v>3592333.8</v>
      </c>
      <c r="D57">
        <v>12350762</v>
      </c>
      <c r="E57">
        <v>12275415</v>
      </c>
      <c r="F57" s="6">
        <v>8.2666666666666693</v>
      </c>
      <c r="G57" s="1">
        <v>105.4</v>
      </c>
      <c r="H57">
        <v>397834</v>
      </c>
      <c r="I57">
        <v>3402521</v>
      </c>
      <c r="J57" s="1">
        <v>1.1929000000000001</v>
      </c>
      <c r="K57">
        <v>-2.2213054929709101E-2</v>
      </c>
      <c r="L57" s="6">
        <v>44.201507622812002</v>
      </c>
      <c r="M57" s="1">
        <v>0.08</v>
      </c>
      <c r="N57" s="7">
        <v>181</v>
      </c>
    </row>
    <row r="58" spans="1:14" x14ac:dyDescent="0.25">
      <c r="A58" s="9">
        <v>44286</v>
      </c>
      <c r="B58">
        <v>2708159</v>
      </c>
      <c r="C58" s="4">
        <v>3395391.5</v>
      </c>
      <c r="D58">
        <v>11651167</v>
      </c>
      <c r="E58">
        <v>12190116</v>
      </c>
      <c r="F58" s="6">
        <v>8.1999999999999993</v>
      </c>
      <c r="G58" s="1">
        <v>107.1</v>
      </c>
      <c r="H58">
        <v>391454</v>
      </c>
      <c r="I58">
        <v>3147501</v>
      </c>
      <c r="J58" s="1">
        <v>1.2048000000000001</v>
      </c>
      <c r="K58">
        <v>0.73001967879134599</v>
      </c>
      <c r="L58" s="6">
        <v>59.648475385323202</v>
      </c>
      <c r="M58" s="1">
        <v>0.2</v>
      </c>
      <c r="N58" s="7">
        <v>367.66666666666669</v>
      </c>
    </row>
    <row r="59" spans="1:14" x14ac:dyDescent="0.25">
      <c r="A59" s="9">
        <v>44377</v>
      </c>
      <c r="B59">
        <v>2820286</v>
      </c>
      <c r="C59" s="4">
        <v>3575870.2</v>
      </c>
      <c r="D59">
        <v>12447182</v>
      </c>
      <c r="E59">
        <v>12308709</v>
      </c>
      <c r="F59" s="6">
        <v>8</v>
      </c>
      <c r="G59" s="1">
        <v>107.3</v>
      </c>
      <c r="H59">
        <v>409845</v>
      </c>
      <c r="I59">
        <v>3577413</v>
      </c>
      <c r="J59" s="1">
        <v>1.2058</v>
      </c>
      <c r="K59">
        <v>1.52823292160323</v>
      </c>
      <c r="L59" s="6">
        <v>67.350889850889899</v>
      </c>
      <c r="M59" s="1">
        <v>0.43</v>
      </c>
      <c r="N59" s="7">
        <v>255.33333333333334</v>
      </c>
    </row>
    <row r="60" spans="1:14" x14ac:dyDescent="0.25">
      <c r="A60" s="9">
        <v>44469</v>
      </c>
      <c r="B60">
        <v>2728593</v>
      </c>
      <c r="C60" s="4">
        <v>3678088.1</v>
      </c>
      <c r="D60">
        <v>12657328</v>
      </c>
      <c r="E60">
        <v>12433555</v>
      </c>
      <c r="F60" s="6">
        <v>7.5333333333333297</v>
      </c>
      <c r="G60" s="1">
        <v>106.9</v>
      </c>
      <c r="H60">
        <v>404541</v>
      </c>
      <c r="I60">
        <v>3492459</v>
      </c>
      <c r="J60" s="1">
        <v>1.1788000000000001</v>
      </c>
      <c r="K60">
        <v>0.571056143508891</v>
      </c>
      <c r="L60" s="6">
        <v>71.7073737373737</v>
      </c>
      <c r="M60" s="1">
        <v>0.32</v>
      </c>
      <c r="N60" s="7">
        <v>339.33333333333331</v>
      </c>
    </row>
    <row r="61" spans="1:14" x14ac:dyDescent="0.25">
      <c r="A61" s="9">
        <v>44561</v>
      </c>
      <c r="B61">
        <v>2695393</v>
      </c>
      <c r="C61" s="4">
        <v>3888381.8</v>
      </c>
      <c r="D61">
        <v>12295329</v>
      </c>
      <c r="E61">
        <v>12165386</v>
      </c>
      <c r="F61" s="6">
        <v>7.1333333333333302</v>
      </c>
      <c r="G61" s="1">
        <v>108.9</v>
      </c>
      <c r="H61">
        <v>416819</v>
      </c>
      <c r="I61">
        <v>3434017</v>
      </c>
      <c r="J61" s="1">
        <v>1.1435</v>
      </c>
      <c r="K61">
        <v>1.7281283752507299</v>
      </c>
      <c r="L61" s="6">
        <v>78.293173766652004</v>
      </c>
      <c r="M61" s="1">
        <v>0.63</v>
      </c>
      <c r="N61" s="7">
        <v>152.66666666666666</v>
      </c>
    </row>
    <row r="62" spans="1:14" x14ac:dyDescent="0.25">
      <c r="A62" s="9">
        <v>44651</v>
      </c>
      <c r="B62">
        <v>2521437</v>
      </c>
      <c r="C62" s="4">
        <v>3733058.7</v>
      </c>
      <c r="D62">
        <v>11637473</v>
      </c>
      <c r="E62">
        <v>11736329</v>
      </c>
      <c r="F62" s="6">
        <v>6.8333333333333304</v>
      </c>
      <c r="G62" s="1">
        <v>110.2</v>
      </c>
      <c r="H62">
        <v>403289</v>
      </c>
      <c r="I62">
        <v>3265351</v>
      </c>
      <c r="J62" s="1">
        <v>1.1216999999999999</v>
      </c>
      <c r="K62">
        <v>2.1902017291066098</v>
      </c>
      <c r="L62" s="6">
        <v>95.353100989187993</v>
      </c>
      <c r="M62" s="1">
        <v>1.2</v>
      </c>
      <c r="N62" s="7">
        <v>313.33333333333331</v>
      </c>
    </row>
    <row r="63" spans="1:14" x14ac:dyDescent="0.25">
      <c r="A63" s="9">
        <v>44742</v>
      </c>
      <c r="B63">
        <v>2679084</v>
      </c>
      <c r="C63" s="4">
        <v>3918997.3</v>
      </c>
      <c r="D63">
        <v>12360504</v>
      </c>
      <c r="E63">
        <v>11989078</v>
      </c>
      <c r="F63" s="6">
        <v>6.7</v>
      </c>
      <c r="G63" s="1">
        <v>111.1</v>
      </c>
      <c r="H63">
        <v>403583</v>
      </c>
      <c r="I63">
        <v>3548065</v>
      </c>
      <c r="J63" s="1">
        <v>1.0647</v>
      </c>
      <c r="K63">
        <v>3.3633152254579</v>
      </c>
      <c r="L63" s="6">
        <v>109.42356661856699</v>
      </c>
      <c r="M63" s="1">
        <v>2.42</v>
      </c>
      <c r="N63" s="7">
        <v>247.33333333333334</v>
      </c>
    </row>
    <row r="64" spans="1:14" x14ac:dyDescent="0.25">
      <c r="A64" s="9">
        <v>44834</v>
      </c>
      <c r="B64">
        <v>2358776</v>
      </c>
      <c r="C64" s="4">
        <v>3971872.8</v>
      </c>
      <c r="D64">
        <v>12169116</v>
      </c>
      <c r="E64">
        <v>11971538</v>
      </c>
      <c r="F64" s="6">
        <v>6.7</v>
      </c>
      <c r="G64" s="1">
        <v>111.4</v>
      </c>
      <c r="H64">
        <v>390713</v>
      </c>
      <c r="I64">
        <v>3472875</v>
      </c>
      <c r="J64" s="8">
        <v>1.0069999999999999</v>
      </c>
      <c r="K64">
        <v>1.75186674325102</v>
      </c>
      <c r="L64" s="6">
        <v>95.474347616956294</v>
      </c>
      <c r="M64" s="1">
        <v>2.72</v>
      </c>
      <c r="N64" s="7">
        <v>77.333333333333329</v>
      </c>
    </row>
    <row r="65" spans="1:14" x14ac:dyDescent="0.25">
      <c r="A65" s="9">
        <v>44926</v>
      </c>
      <c r="B65">
        <v>2334043</v>
      </c>
      <c r="C65" s="4">
        <v>4186357.8</v>
      </c>
      <c r="D65" s="4">
        <f>AVERAGE(D2:D64)</f>
        <v>11320074.460317461</v>
      </c>
      <c r="E65" s="4">
        <f>AVERAGE(E2:E64)</f>
        <v>11150578.984126983</v>
      </c>
      <c r="F65" s="6">
        <v>6.6666666666666696</v>
      </c>
      <c r="G65" s="1">
        <v>110.8</v>
      </c>
      <c r="H65">
        <v>384890</v>
      </c>
      <c r="I65" s="4">
        <f>AVERAGE(I2:I64)</f>
        <v>3660204.6349206348</v>
      </c>
      <c r="J65" s="1">
        <v>1.0205</v>
      </c>
      <c r="K65">
        <v>2.32289020604009</v>
      </c>
      <c r="L65" s="6">
        <v>85.197222222222194</v>
      </c>
      <c r="M65" s="1">
        <v>3.45</v>
      </c>
      <c r="N65" s="7">
        <f>AVERAGE(N2:N64)</f>
        <v>261.39682539682542</v>
      </c>
    </row>
    <row r="66" spans="1:14" x14ac:dyDescent="0.25">
      <c r="L66" s="2"/>
    </row>
    <row r="67" spans="1:14" x14ac:dyDescent="0.25">
      <c r="L67" s="1"/>
    </row>
    <row r="68" spans="1:14" x14ac:dyDescent="0.25">
      <c r="L68" s="2"/>
    </row>
    <row r="69" spans="1:14" x14ac:dyDescent="0.25">
      <c r="L69" s="3"/>
    </row>
    <row r="70" spans="1:14" x14ac:dyDescent="0.25">
      <c r="L70" s="2"/>
    </row>
    <row r="71" spans="1:14" x14ac:dyDescent="0.25">
      <c r="L71" s="1"/>
    </row>
    <row r="72" spans="1:14" x14ac:dyDescent="0.25">
      <c r="L72" s="2"/>
    </row>
    <row r="73" spans="1:14" x14ac:dyDescent="0.25">
      <c r="L73" s="1"/>
    </row>
    <row r="74" spans="1:14" x14ac:dyDescent="0.25">
      <c r="L74" s="2"/>
    </row>
    <row r="75" spans="1:14" x14ac:dyDescent="0.25">
      <c r="L75" s="1"/>
    </row>
    <row r="76" spans="1:14" x14ac:dyDescent="0.25">
      <c r="L76" s="2"/>
    </row>
    <row r="77" spans="1:14" x14ac:dyDescent="0.25">
      <c r="L77" s="1"/>
    </row>
    <row r="78" spans="1:14" x14ac:dyDescent="0.25">
      <c r="L78" s="2"/>
    </row>
    <row r="79" spans="1:14" x14ac:dyDescent="0.25">
      <c r="L79" s="1"/>
    </row>
    <row r="80" spans="1:14" x14ac:dyDescent="0.25">
      <c r="L80" s="2"/>
    </row>
    <row r="81" spans="12:12" x14ac:dyDescent="0.25">
      <c r="L81" s="1"/>
    </row>
    <row r="82" spans="12:12" x14ac:dyDescent="0.25">
      <c r="L82" s="2"/>
    </row>
    <row r="83" spans="12:12" x14ac:dyDescent="0.25">
      <c r="L83" s="1"/>
    </row>
    <row r="84" spans="12:12" x14ac:dyDescent="0.25">
      <c r="L84" s="2"/>
    </row>
    <row r="85" spans="12:12" x14ac:dyDescent="0.25">
      <c r="L85" s="1"/>
    </row>
    <row r="86" spans="12:12" x14ac:dyDescent="0.25">
      <c r="L86" s="2"/>
    </row>
    <row r="87" spans="12:12" x14ac:dyDescent="0.25">
      <c r="L87" s="1"/>
    </row>
    <row r="88" spans="12:12" x14ac:dyDescent="0.25">
      <c r="L88" s="2"/>
    </row>
    <row r="89" spans="12:12" x14ac:dyDescent="0.25">
      <c r="L89" s="1"/>
    </row>
    <row r="90" spans="12:12" x14ac:dyDescent="0.25">
      <c r="L90" s="2"/>
    </row>
    <row r="91" spans="12:12" x14ac:dyDescent="0.25">
      <c r="L91" s="1"/>
    </row>
    <row r="92" spans="12:12" x14ac:dyDescent="0.25">
      <c r="L92" s="2"/>
    </row>
    <row r="93" spans="12:12" x14ac:dyDescent="0.25">
      <c r="L93" s="3"/>
    </row>
    <row r="94" spans="12:12" x14ac:dyDescent="0.25">
      <c r="L94" s="2"/>
    </row>
    <row r="95" spans="12:12" x14ac:dyDescent="0.25">
      <c r="L95" s="1"/>
    </row>
    <row r="96" spans="12:12" x14ac:dyDescent="0.25">
      <c r="L96" s="2"/>
    </row>
    <row r="97" spans="12:12" x14ac:dyDescent="0.25">
      <c r="L97" s="1"/>
    </row>
    <row r="98" spans="12:12" x14ac:dyDescent="0.25">
      <c r="L98" s="2"/>
    </row>
    <row r="99" spans="12:12" x14ac:dyDescent="0.25">
      <c r="L99" s="1"/>
    </row>
    <row r="100" spans="12:12" x14ac:dyDescent="0.25">
      <c r="L100" s="2"/>
    </row>
    <row r="101" spans="12:12" x14ac:dyDescent="0.25">
      <c r="L101" s="3"/>
    </row>
    <row r="102" spans="12:12" x14ac:dyDescent="0.25">
      <c r="L102" s="2"/>
    </row>
    <row r="103" spans="12:12" x14ac:dyDescent="0.25">
      <c r="L103" s="1"/>
    </row>
    <row r="104" spans="12:12" x14ac:dyDescent="0.25">
      <c r="L104" s="2"/>
    </row>
    <row r="105" spans="12:12" x14ac:dyDescent="0.25">
      <c r="L105" s="1"/>
    </row>
    <row r="106" spans="12:12" x14ac:dyDescent="0.25">
      <c r="L106" s="2"/>
    </row>
    <row r="107" spans="12:12" x14ac:dyDescent="0.25">
      <c r="L107" s="1"/>
    </row>
    <row r="108" spans="12:12" x14ac:dyDescent="0.25">
      <c r="L108" s="2"/>
    </row>
    <row r="109" spans="12:12" x14ac:dyDescent="0.25">
      <c r="L109" s="1"/>
    </row>
    <row r="110" spans="12:12" x14ac:dyDescent="0.25">
      <c r="L110" s="2"/>
    </row>
    <row r="111" spans="12:12" x14ac:dyDescent="0.25">
      <c r="L111" s="1"/>
    </row>
    <row r="112" spans="12:12" x14ac:dyDescent="0.25">
      <c r="L112" s="2"/>
    </row>
    <row r="113" spans="12:12" x14ac:dyDescent="0.25">
      <c r="L113" s="1"/>
    </row>
    <row r="114" spans="12:12" x14ac:dyDescent="0.25">
      <c r="L114" s="2"/>
    </row>
    <row r="115" spans="12:12" x14ac:dyDescent="0.25">
      <c r="L115" s="1"/>
    </row>
    <row r="116" spans="12:12" x14ac:dyDescent="0.25">
      <c r="L116" s="2"/>
    </row>
    <row r="117" spans="12:12" x14ac:dyDescent="0.25">
      <c r="L117" s="1"/>
    </row>
    <row r="118" spans="12:12" x14ac:dyDescent="0.25">
      <c r="L118" s="2"/>
    </row>
    <row r="119" spans="12:12" x14ac:dyDescent="0.25">
      <c r="L119" s="1"/>
    </row>
    <row r="120" spans="12:12" x14ac:dyDescent="0.25">
      <c r="L120" s="2"/>
    </row>
    <row r="121" spans="12:12" x14ac:dyDescent="0.25">
      <c r="L121" s="1"/>
    </row>
    <row r="122" spans="12:12" x14ac:dyDescent="0.25">
      <c r="L122" s="2"/>
    </row>
    <row r="123" spans="12:12" x14ac:dyDescent="0.25">
      <c r="L123" s="1"/>
    </row>
    <row r="124" spans="12:12" x14ac:dyDescent="0.25">
      <c r="L124" s="2"/>
    </row>
    <row r="125" spans="12:12" x14ac:dyDescent="0.25">
      <c r="L125" s="1"/>
    </row>
    <row r="126" spans="12:12" x14ac:dyDescent="0.25">
      <c r="L126" s="2"/>
    </row>
    <row r="127" spans="12:12" x14ac:dyDescent="0.25">
      <c r="L127" s="1"/>
    </row>
    <row r="128" spans="12:12" x14ac:dyDescent="0.25">
      <c r="L128" s="2"/>
    </row>
    <row r="129" spans="12:12" x14ac:dyDescent="0.25">
      <c r="L129" s="3"/>
    </row>
    <row r="130" spans="12:12" x14ac:dyDescent="0.25">
      <c r="L130" s="2"/>
    </row>
    <row r="131" spans="12:12" x14ac:dyDescent="0.25">
      <c r="L131" s="1"/>
    </row>
    <row r="132" spans="12:12" x14ac:dyDescent="0.25">
      <c r="L132" s="2"/>
    </row>
    <row r="133" spans="12:12" x14ac:dyDescent="0.25">
      <c r="L133" s="1"/>
    </row>
    <row r="134" spans="12:12" x14ac:dyDescent="0.25">
      <c r="L134" s="2"/>
    </row>
    <row r="135" spans="12:12" x14ac:dyDescent="0.25">
      <c r="L135" s="1"/>
    </row>
    <row r="136" spans="12:12" x14ac:dyDescent="0.25">
      <c r="L136" s="2"/>
    </row>
    <row r="137" spans="12:12" x14ac:dyDescent="0.25">
      <c r="L137" s="1"/>
    </row>
    <row r="138" spans="12:12" x14ac:dyDescent="0.25">
      <c r="L138" s="2"/>
    </row>
    <row r="139" spans="12:12" x14ac:dyDescent="0.25">
      <c r="L139" s="1"/>
    </row>
    <row r="140" spans="12:12" x14ac:dyDescent="0.25">
      <c r="L140" s="2"/>
    </row>
    <row r="141" spans="12:12" x14ac:dyDescent="0.25">
      <c r="L141" s="1"/>
    </row>
    <row r="142" spans="12:12" x14ac:dyDescent="0.25">
      <c r="L142" s="2"/>
    </row>
    <row r="143" spans="12:12" x14ac:dyDescent="0.25">
      <c r="L143" s="1"/>
    </row>
    <row r="144" spans="12:12" x14ac:dyDescent="0.25">
      <c r="L144" s="2"/>
    </row>
    <row r="145" spans="12:12" x14ac:dyDescent="0.25">
      <c r="L145" s="1"/>
    </row>
    <row r="146" spans="12:12" x14ac:dyDescent="0.25">
      <c r="L146" s="2"/>
    </row>
    <row r="147" spans="12:12" x14ac:dyDescent="0.25">
      <c r="L147" s="3"/>
    </row>
    <row r="148" spans="12:12" x14ac:dyDescent="0.25">
      <c r="L148" s="2"/>
    </row>
    <row r="149" spans="12:12" x14ac:dyDescent="0.25">
      <c r="L149" s="3"/>
    </row>
    <row r="150" spans="12:12" x14ac:dyDescent="0.25">
      <c r="L150" s="2"/>
    </row>
    <row r="151" spans="12:12" x14ac:dyDescent="0.25">
      <c r="L151" s="1"/>
    </row>
    <row r="152" spans="12:12" x14ac:dyDescent="0.25">
      <c r="L152" s="2"/>
    </row>
    <row r="153" spans="12:12" x14ac:dyDescent="0.25">
      <c r="L153" s="1"/>
    </row>
    <row r="154" spans="12:12" x14ac:dyDescent="0.25">
      <c r="L154" s="2"/>
    </row>
    <row r="155" spans="12:12" x14ac:dyDescent="0.25">
      <c r="L155" s="1"/>
    </row>
    <row r="156" spans="12:12" x14ac:dyDescent="0.25">
      <c r="L156" s="2"/>
    </row>
    <row r="157" spans="12:12" x14ac:dyDescent="0.25">
      <c r="L157" s="1"/>
    </row>
    <row r="158" spans="12:12" x14ac:dyDescent="0.25">
      <c r="L158" s="2"/>
    </row>
    <row r="159" spans="12:12" x14ac:dyDescent="0.25">
      <c r="L159" s="1"/>
    </row>
    <row r="160" spans="12:12" x14ac:dyDescent="0.25">
      <c r="L160" s="2"/>
    </row>
    <row r="161" spans="12:12" x14ac:dyDescent="0.25">
      <c r="L161" s="1"/>
    </row>
    <row r="162" spans="12:12" x14ac:dyDescent="0.25">
      <c r="L162" s="2"/>
    </row>
    <row r="163" spans="12:12" x14ac:dyDescent="0.25">
      <c r="L163" s="1"/>
    </row>
    <row r="164" spans="12:12" x14ac:dyDescent="0.25">
      <c r="L164" s="2"/>
    </row>
    <row r="165" spans="12:12" x14ac:dyDescent="0.25">
      <c r="L165" s="1"/>
    </row>
    <row r="166" spans="12:12" x14ac:dyDescent="0.25">
      <c r="L166" s="2"/>
    </row>
    <row r="167" spans="12:12" x14ac:dyDescent="0.25">
      <c r="L167" s="1"/>
    </row>
    <row r="168" spans="12:12" x14ac:dyDescent="0.25">
      <c r="L168" s="2"/>
    </row>
    <row r="169" spans="12:12" x14ac:dyDescent="0.25">
      <c r="L169" s="1"/>
    </row>
    <row r="170" spans="12:12" x14ac:dyDescent="0.25">
      <c r="L170" s="2"/>
    </row>
    <row r="171" spans="12:12" x14ac:dyDescent="0.25">
      <c r="L171" s="1"/>
    </row>
    <row r="172" spans="12:12" x14ac:dyDescent="0.25">
      <c r="L172" s="2"/>
    </row>
    <row r="173" spans="12:12" x14ac:dyDescent="0.25">
      <c r="L173" s="1"/>
    </row>
    <row r="174" spans="12:12" x14ac:dyDescent="0.25">
      <c r="L174" s="2"/>
    </row>
    <row r="175" spans="12:12" x14ac:dyDescent="0.25">
      <c r="L175" s="1"/>
    </row>
    <row r="176" spans="12:12" x14ac:dyDescent="0.25">
      <c r="L176" s="2"/>
    </row>
    <row r="177" spans="12:12" x14ac:dyDescent="0.25">
      <c r="L177" s="1"/>
    </row>
    <row r="178" spans="12:12" x14ac:dyDescent="0.25">
      <c r="L178" s="2"/>
    </row>
    <row r="179" spans="12:12" x14ac:dyDescent="0.25">
      <c r="L179" s="1"/>
    </row>
    <row r="180" spans="12:12" x14ac:dyDescent="0.25">
      <c r="L180" s="2"/>
    </row>
    <row r="181" spans="12:12" x14ac:dyDescent="0.25">
      <c r="L181" s="1"/>
    </row>
    <row r="182" spans="12:12" x14ac:dyDescent="0.25">
      <c r="L182" s="2"/>
    </row>
    <row r="183" spans="12:12" x14ac:dyDescent="0.25">
      <c r="L183" s="1"/>
    </row>
    <row r="184" spans="12:12" x14ac:dyDescent="0.25">
      <c r="L184" s="2"/>
    </row>
    <row r="185" spans="12:12" x14ac:dyDescent="0.25">
      <c r="L185" s="1"/>
    </row>
    <row r="186" spans="12:12" x14ac:dyDescent="0.25">
      <c r="L186" s="2"/>
    </row>
    <row r="187" spans="12:12" x14ac:dyDescent="0.25">
      <c r="L187" s="1"/>
    </row>
    <row r="188" spans="12:12" x14ac:dyDescent="0.25">
      <c r="L188" s="2"/>
    </row>
    <row r="189" spans="12:12" x14ac:dyDescent="0.25">
      <c r="L189" s="1"/>
    </row>
    <row r="190" spans="12:12" x14ac:dyDescent="0.25">
      <c r="L190" s="2"/>
    </row>
    <row r="191" spans="12:12" x14ac:dyDescent="0.25">
      <c r="L191" s="1"/>
    </row>
    <row r="192" spans="12:12" x14ac:dyDescent="0.25">
      <c r="L192" s="2"/>
    </row>
    <row r="193" spans="12:12" x14ac:dyDescent="0.25">
      <c r="L193" s="1"/>
    </row>
    <row r="194" spans="12:12" x14ac:dyDescent="0.25">
      <c r="L194" s="2"/>
    </row>
    <row r="195" spans="12:12" x14ac:dyDescent="0.25">
      <c r="L195" s="1"/>
    </row>
    <row r="196" spans="12:12" x14ac:dyDescent="0.25">
      <c r="L196" s="2"/>
    </row>
    <row r="197" spans="12:12" x14ac:dyDescent="0.25">
      <c r="L197" s="1"/>
    </row>
    <row r="198" spans="12:12" x14ac:dyDescent="0.25">
      <c r="L198" s="2"/>
    </row>
    <row r="199" spans="12:12" x14ac:dyDescent="0.25">
      <c r="L199" s="1"/>
    </row>
    <row r="200" spans="12:12" x14ac:dyDescent="0.25">
      <c r="L200" s="2"/>
    </row>
    <row r="201" spans="12:12" x14ac:dyDescent="0.25">
      <c r="L201" s="1"/>
    </row>
    <row r="202" spans="12:12" x14ac:dyDescent="0.25">
      <c r="L202" s="2"/>
    </row>
    <row r="203" spans="12:12" x14ac:dyDescent="0.25">
      <c r="L203" s="3"/>
    </row>
    <row r="204" spans="12:12" x14ac:dyDescent="0.25">
      <c r="L204" s="2"/>
    </row>
    <row r="205" spans="12:12" x14ac:dyDescent="0.25">
      <c r="L205" s="1"/>
    </row>
    <row r="206" spans="12:12" x14ac:dyDescent="0.25">
      <c r="L206" s="2"/>
    </row>
    <row r="207" spans="12:12" x14ac:dyDescent="0.25">
      <c r="L207" s="1"/>
    </row>
    <row r="208" spans="12:12" x14ac:dyDescent="0.25">
      <c r="L208" s="2"/>
    </row>
    <row r="209" spans="12:12" x14ac:dyDescent="0.25">
      <c r="L209" s="1"/>
    </row>
    <row r="210" spans="12:12" x14ac:dyDescent="0.25">
      <c r="L210" s="2"/>
    </row>
    <row r="211" spans="12:12" x14ac:dyDescent="0.25">
      <c r="L211" s="1"/>
    </row>
    <row r="212" spans="12:12" x14ac:dyDescent="0.25">
      <c r="L212" s="2"/>
    </row>
    <row r="213" spans="12:12" x14ac:dyDescent="0.25">
      <c r="L213" s="1"/>
    </row>
    <row r="214" spans="12:12" x14ac:dyDescent="0.25">
      <c r="L214" s="2"/>
    </row>
    <row r="215" spans="12:12" x14ac:dyDescent="0.25">
      <c r="L215" s="1"/>
    </row>
    <row r="216" spans="12:12" x14ac:dyDescent="0.25">
      <c r="L216" s="2"/>
    </row>
    <row r="217" spans="12:12" x14ac:dyDescent="0.25">
      <c r="L217" s="1"/>
    </row>
    <row r="218" spans="12:12" x14ac:dyDescent="0.25">
      <c r="L218" s="2"/>
    </row>
    <row r="219" spans="12:12" x14ac:dyDescent="0.25">
      <c r="L219" s="1"/>
    </row>
    <row r="220" spans="12:12" x14ac:dyDescent="0.25">
      <c r="L220" s="2"/>
    </row>
    <row r="221" spans="12:12" x14ac:dyDescent="0.25">
      <c r="L221" s="1"/>
    </row>
    <row r="222" spans="12:12" x14ac:dyDescent="0.25">
      <c r="L222" s="2"/>
    </row>
    <row r="223" spans="12:12" x14ac:dyDescent="0.25">
      <c r="L223" s="1"/>
    </row>
    <row r="224" spans="12:12" x14ac:dyDescent="0.25">
      <c r="L224" s="2"/>
    </row>
    <row r="225" spans="12:12" x14ac:dyDescent="0.25">
      <c r="L225" s="3"/>
    </row>
    <row r="226" spans="12:12" x14ac:dyDescent="0.25">
      <c r="L226" s="2"/>
    </row>
    <row r="227" spans="12:12" x14ac:dyDescent="0.25">
      <c r="L227" s="1"/>
    </row>
    <row r="228" spans="12:12" x14ac:dyDescent="0.25">
      <c r="L228" s="2"/>
    </row>
    <row r="229" spans="12:12" x14ac:dyDescent="0.25">
      <c r="L229" s="3"/>
    </row>
    <row r="230" spans="12:12" x14ac:dyDescent="0.25">
      <c r="L230" s="2"/>
    </row>
    <row r="231" spans="12:12" x14ac:dyDescent="0.25">
      <c r="L231" s="1"/>
    </row>
    <row r="232" spans="12:12" x14ac:dyDescent="0.25">
      <c r="L232" s="2"/>
    </row>
    <row r="233" spans="12:12" x14ac:dyDescent="0.25">
      <c r="L233" s="1"/>
    </row>
    <row r="234" spans="12:12" x14ac:dyDescent="0.25">
      <c r="L234" s="2"/>
    </row>
    <row r="235" spans="12:12" x14ac:dyDescent="0.25">
      <c r="L235" s="1"/>
    </row>
    <row r="236" spans="12:12" x14ac:dyDescent="0.25">
      <c r="L236" s="2"/>
    </row>
    <row r="237" spans="12:12" x14ac:dyDescent="0.25">
      <c r="L237" s="1"/>
    </row>
    <row r="238" spans="12:12" x14ac:dyDescent="0.25">
      <c r="L238" s="2"/>
    </row>
    <row r="239" spans="12:12" x14ac:dyDescent="0.25">
      <c r="L239" s="1"/>
    </row>
    <row r="240" spans="12:12" x14ac:dyDescent="0.25">
      <c r="L240" s="2"/>
    </row>
    <row r="241" spans="12:12" x14ac:dyDescent="0.25">
      <c r="L241" s="1"/>
    </row>
    <row r="242" spans="12:12" x14ac:dyDescent="0.25">
      <c r="L242" s="2"/>
    </row>
    <row r="243" spans="12:12" x14ac:dyDescent="0.25">
      <c r="L243" s="1"/>
    </row>
    <row r="244" spans="12:12" x14ac:dyDescent="0.25">
      <c r="L244" s="2"/>
    </row>
    <row r="245" spans="12:12" x14ac:dyDescent="0.25">
      <c r="L245" s="1"/>
    </row>
    <row r="246" spans="12:12" x14ac:dyDescent="0.25">
      <c r="L246" s="2"/>
    </row>
    <row r="247" spans="12:12" x14ac:dyDescent="0.25">
      <c r="L247" s="1"/>
    </row>
    <row r="248" spans="12:12" x14ac:dyDescent="0.25">
      <c r="L248" s="2"/>
    </row>
    <row r="249" spans="12:12" x14ac:dyDescent="0.25">
      <c r="L249" s="1"/>
    </row>
    <row r="250" spans="12:12" x14ac:dyDescent="0.25">
      <c r="L250" s="2"/>
    </row>
    <row r="251" spans="12:12" x14ac:dyDescent="0.25">
      <c r="L251" s="1"/>
    </row>
    <row r="252" spans="12:12" x14ac:dyDescent="0.25">
      <c r="L252" s="2"/>
    </row>
    <row r="253" spans="12:12" x14ac:dyDescent="0.25">
      <c r="L253" s="1"/>
    </row>
    <row r="254" spans="12:12" x14ac:dyDescent="0.25">
      <c r="L254" s="2"/>
    </row>
    <row r="255" spans="12:12" x14ac:dyDescent="0.25">
      <c r="L255" s="3"/>
    </row>
    <row r="256" spans="12:12" x14ac:dyDescent="0.25">
      <c r="L256" s="2"/>
    </row>
    <row r="257" spans="12:12" x14ac:dyDescent="0.25">
      <c r="L257" s="1"/>
    </row>
    <row r="258" spans="12:12" x14ac:dyDescent="0.25">
      <c r="L258" s="2"/>
    </row>
    <row r="259" spans="12:12" x14ac:dyDescent="0.25">
      <c r="L259" s="1"/>
    </row>
    <row r="260" spans="12:12" x14ac:dyDescent="0.25">
      <c r="L260" s="2"/>
    </row>
    <row r="261" spans="12:12" x14ac:dyDescent="0.25">
      <c r="L261" s="1"/>
    </row>
    <row r="262" spans="12:12" x14ac:dyDescent="0.25">
      <c r="L262" s="2"/>
    </row>
    <row r="263" spans="12:12" x14ac:dyDescent="0.25">
      <c r="L263" s="1"/>
    </row>
    <row r="264" spans="12:12" x14ac:dyDescent="0.25">
      <c r="L264" s="2"/>
    </row>
    <row r="265" spans="12:12" x14ac:dyDescent="0.25">
      <c r="L265" s="1"/>
    </row>
    <row r="266" spans="12:12" x14ac:dyDescent="0.25">
      <c r="L266" s="2"/>
    </row>
    <row r="267" spans="12:12" x14ac:dyDescent="0.25">
      <c r="L267" s="3"/>
    </row>
    <row r="268" spans="12:12" x14ac:dyDescent="0.25">
      <c r="L268" s="2"/>
    </row>
    <row r="269" spans="12:12" x14ac:dyDescent="0.25">
      <c r="L269" s="1"/>
    </row>
    <row r="270" spans="12:12" x14ac:dyDescent="0.25">
      <c r="L270" s="2"/>
    </row>
    <row r="271" spans="12:12" x14ac:dyDescent="0.25">
      <c r="L271" s="1"/>
    </row>
    <row r="272" spans="12:12" x14ac:dyDescent="0.25">
      <c r="L272" s="2"/>
    </row>
    <row r="273" spans="12:12" x14ac:dyDescent="0.25">
      <c r="L273" s="1"/>
    </row>
    <row r="274" spans="12:12" x14ac:dyDescent="0.25">
      <c r="L274" s="2"/>
    </row>
    <row r="275" spans="12:12" x14ac:dyDescent="0.25">
      <c r="L275" s="1"/>
    </row>
    <row r="276" spans="12:12" x14ac:dyDescent="0.25">
      <c r="L276" s="2"/>
    </row>
    <row r="277" spans="12:12" x14ac:dyDescent="0.25">
      <c r="L277" s="1"/>
    </row>
    <row r="278" spans="12:12" x14ac:dyDescent="0.25">
      <c r="L278" s="2"/>
    </row>
    <row r="279" spans="12:12" x14ac:dyDescent="0.25">
      <c r="L279" s="1"/>
    </row>
    <row r="280" spans="12:12" x14ac:dyDescent="0.25">
      <c r="L280" s="2"/>
    </row>
    <row r="281" spans="12:12" x14ac:dyDescent="0.25">
      <c r="L281" s="1"/>
    </row>
    <row r="282" spans="12:12" x14ac:dyDescent="0.25">
      <c r="L282" s="2"/>
    </row>
    <row r="283" spans="12:12" x14ac:dyDescent="0.25">
      <c r="L283" s="1"/>
    </row>
    <row r="284" spans="12:12" x14ac:dyDescent="0.25">
      <c r="L284" s="2"/>
    </row>
    <row r="285" spans="12:12" x14ac:dyDescent="0.25">
      <c r="L285" s="1"/>
    </row>
    <row r="286" spans="12:12" x14ac:dyDescent="0.25">
      <c r="L286" s="2"/>
    </row>
    <row r="287" spans="12:12" x14ac:dyDescent="0.25">
      <c r="L287" s="1"/>
    </row>
    <row r="288" spans="12:12" x14ac:dyDescent="0.25">
      <c r="L288" s="2"/>
    </row>
    <row r="289" spans="12:12" x14ac:dyDescent="0.25">
      <c r="L289" s="1"/>
    </row>
    <row r="290" spans="12:12" x14ac:dyDescent="0.25">
      <c r="L290" s="2"/>
    </row>
    <row r="291" spans="12:12" x14ac:dyDescent="0.25">
      <c r="L291" s="1"/>
    </row>
    <row r="292" spans="12:12" x14ac:dyDescent="0.25">
      <c r="L292" s="2"/>
    </row>
    <row r="293" spans="12:12" x14ac:dyDescent="0.25">
      <c r="L293" s="1"/>
    </row>
    <row r="294" spans="12:12" x14ac:dyDescent="0.25">
      <c r="L294" s="2"/>
    </row>
    <row r="295" spans="12:12" x14ac:dyDescent="0.25">
      <c r="L295" s="1"/>
    </row>
    <row r="296" spans="12:12" x14ac:dyDescent="0.25">
      <c r="L296" s="2"/>
    </row>
    <row r="297" spans="12:12" x14ac:dyDescent="0.25">
      <c r="L297" s="1"/>
    </row>
    <row r="298" spans="12:12" x14ac:dyDescent="0.25">
      <c r="L298" s="2"/>
    </row>
    <row r="299" spans="12:12" x14ac:dyDescent="0.25">
      <c r="L299" s="1"/>
    </row>
    <row r="300" spans="12:12" x14ac:dyDescent="0.25">
      <c r="L300" s="2"/>
    </row>
    <row r="301" spans="12:12" x14ac:dyDescent="0.25">
      <c r="L301" s="1"/>
    </row>
    <row r="302" spans="12:12" x14ac:dyDescent="0.25">
      <c r="L302" s="2"/>
    </row>
    <row r="303" spans="12:12" x14ac:dyDescent="0.25">
      <c r="L303" s="1"/>
    </row>
    <row r="304" spans="12:12" x14ac:dyDescent="0.25">
      <c r="L304" s="2"/>
    </row>
    <row r="305" spans="12:12" x14ac:dyDescent="0.25">
      <c r="L305" s="1"/>
    </row>
    <row r="306" spans="12:12" x14ac:dyDescent="0.25">
      <c r="L306" s="2"/>
    </row>
    <row r="307" spans="12:12" x14ac:dyDescent="0.25">
      <c r="L307" s="1"/>
    </row>
    <row r="308" spans="12:12" x14ac:dyDescent="0.25">
      <c r="L308" s="2"/>
    </row>
    <row r="309" spans="12:12" x14ac:dyDescent="0.25">
      <c r="L309" s="1"/>
    </row>
    <row r="310" spans="12:12" x14ac:dyDescent="0.25">
      <c r="L310" s="2"/>
    </row>
    <row r="311" spans="12:12" x14ac:dyDescent="0.25">
      <c r="L311" s="1"/>
    </row>
    <row r="312" spans="12:12" x14ac:dyDescent="0.25">
      <c r="L312" s="2"/>
    </row>
    <row r="313" spans="12:12" x14ac:dyDescent="0.25">
      <c r="L313" s="1"/>
    </row>
    <row r="314" spans="12:12" x14ac:dyDescent="0.25">
      <c r="L314" s="2"/>
    </row>
    <row r="315" spans="12:12" x14ac:dyDescent="0.25">
      <c r="L315" s="1"/>
    </row>
    <row r="316" spans="12:12" x14ac:dyDescent="0.25">
      <c r="L316" s="2"/>
    </row>
    <row r="317" spans="12:12" x14ac:dyDescent="0.25">
      <c r="L317" s="1"/>
    </row>
    <row r="318" spans="12:12" x14ac:dyDescent="0.25">
      <c r="L318" s="2"/>
    </row>
    <row r="319" spans="12:12" x14ac:dyDescent="0.25">
      <c r="L319" s="1"/>
    </row>
    <row r="320" spans="12:12" x14ac:dyDescent="0.25">
      <c r="L320" s="2"/>
    </row>
    <row r="321" spans="12:12" x14ac:dyDescent="0.25">
      <c r="L321" s="1"/>
    </row>
    <row r="322" spans="12:12" x14ac:dyDescent="0.25">
      <c r="L322" s="2"/>
    </row>
    <row r="323" spans="12:12" x14ac:dyDescent="0.25">
      <c r="L323" s="1"/>
    </row>
    <row r="324" spans="12:12" x14ac:dyDescent="0.25">
      <c r="L324" s="2"/>
    </row>
    <row r="325" spans="12:12" x14ac:dyDescent="0.25">
      <c r="L325" s="3"/>
    </row>
    <row r="326" spans="12:12" x14ac:dyDescent="0.25">
      <c r="L326" s="2"/>
    </row>
    <row r="327" spans="12:12" x14ac:dyDescent="0.25">
      <c r="L327" s="1"/>
    </row>
    <row r="328" spans="12:12" x14ac:dyDescent="0.25">
      <c r="L328" s="2"/>
    </row>
    <row r="329" spans="12:12" x14ac:dyDescent="0.25">
      <c r="L329" s="1"/>
    </row>
    <row r="330" spans="12:12" x14ac:dyDescent="0.25">
      <c r="L330" s="2"/>
    </row>
    <row r="331" spans="12:12" x14ac:dyDescent="0.25">
      <c r="L331" s="1"/>
    </row>
    <row r="332" spans="12:12" x14ac:dyDescent="0.25">
      <c r="L332" s="2"/>
    </row>
    <row r="333" spans="12:12" x14ac:dyDescent="0.25">
      <c r="L333" s="1"/>
    </row>
    <row r="334" spans="12:12" x14ac:dyDescent="0.25">
      <c r="L334" s="2"/>
    </row>
    <row r="335" spans="12:12" x14ac:dyDescent="0.25">
      <c r="L335" s="1"/>
    </row>
    <row r="336" spans="12:12" x14ac:dyDescent="0.25">
      <c r="L336" s="2"/>
    </row>
    <row r="337" spans="12:12" x14ac:dyDescent="0.25">
      <c r="L337" s="1"/>
    </row>
    <row r="338" spans="12:12" x14ac:dyDescent="0.25">
      <c r="L338" s="2"/>
    </row>
    <row r="339" spans="12:12" x14ac:dyDescent="0.25">
      <c r="L339" s="1"/>
    </row>
    <row r="340" spans="12:12" x14ac:dyDescent="0.25">
      <c r="L340" s="2"/>
    </row>
    <row r="341" spans="12:12" x14ac:dyDescent="0.25">
      <c r="L341" s="1"/>
    </row>
    <row r="342" spans="12:12" x14ac:dyDescent="0.25">
      <c r="L342" s="2"/>
    </row>
    <row r="343" spans="12:12" x14ac:dyDescent="0.25">
      <c r="L343" s="1"/>
    </row>
    <row r="344" spans="12:12" x14ac:dyDescent="0.25">
      <c r="L344" s="2"/>
    </row>
    <row r="345" spans="12:12" x14ac:dyDescent="0.25">
      <c r="L345" s="1"/>
    </row>
    <row r="346" spans="12:12" x14ac:dyDescent="0.25">
      <c r="L346" s="2"/>
    </row>
    <row r="347" spans="12:12" x14ac:dyDescent="0.25">
      <c r="L347" s="1"/>
    </row>
    <row r="348" spans="12:12" x14ac:dyDescent="0.25">
      <c r="L348" s="2"/>
    </row>
    <row r="349" spans="12:12" x14ac:dyDescent="0.25">
      <c r="L349" s="1"/>
    </row>
    <row r="350" spans="12:12" x14ac:dyDescent="0.25">
      <c r="L350" s="2"/>
    </row>
    <row r="351" spans="12:12" x14ac:dyDescent="0.25">
      <c r="L351" s="1"/>
    </row>
    <row r="352" spans="12:12" x14ac:dyDescent="0.25">
      <c r="L352" s="2"/>
    </row>
    <row r="353" spans="12:12" x14ac:dyDescent="0.25">
      <c r="L353" s="1"/>
    </row>
    <row r="354" spans="12:12" x14ac:dyDescent="0.25">
      <c r="L354" s="2"/>
    </row>
    <row r="355" spans="12:12" x14ac:dyDescent="0.25">
      <c r="L355" s="1"/>
    </row>
    <row r="356" spans="12:12" x14ac:dyDescent="0.25">
      <c r="L356" s="2"/>
    </row>
    <row r="357" spans="12:12" x14ac:dyDescent="0.25">
      <c r="L357" s="1"/>
    </row>
    <row r="358" spans="12:12" x14ac:dyDescent="0.25">
      <c r="L358" s="2"/>
    </row>
    <row r="359" spans="12:12" x14ac:dyDescent="0.25">
      <c r="L359" s="1"/>
    </row>
    <row r="360" spans="12:12" x14ac:dyDescent="0.25">
      <c r="L360" s="2"/>
    </row>
    <row r="361" spans="12:12" x14ac:dyDescent="0.25">
      <c r="L361" s="1"/>
    </row>
    <row r="362" spans="12:12" x14ac:dyDescent="0.25">
      <c r="L362" s="2"/>
    </row>
    <row r="363" spans="12:12" x14ac:dyDescent="0.25">
      <c r="L363" s="1"/>
    </row>
    <row r="364" spans="12:12" x14ac:dyDescent="0.25">
      <c r="L364" s="2"/>
    </row>
    <row r="365" spans="12:12" x14ac:dyDescent="0.25">
      <c r="L3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Bu</dc:creator>
  <cp:lastModifiedBy>Fan Bu</cp:lastModifiedBy>
  <dcterms:created xsi:type="dcterms:W3CDTF">2015-06-05T18:17:20Z</dcterms:created>
  <dcterms:modified xsi:type="dcterms:W3CDTF">2024-01-09T23:01:41Z</dcterms:modified>
</cp:coreProperties>
</file>